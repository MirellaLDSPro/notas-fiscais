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Comparativo" sheetId="2" state="visible" r:id="rId4"/>
    <sheet name="Resumo por Nota" sheetId="3" state="visible" r:id="rId5"/>
  </sheets>
  <definedNames>
    <definedName function="false" hidden="true" localSheetId="1" name="_xlnm._FilterDatabase" vbProcedure="false">Comparativo!$A$1:$G$65</definedName>
    <definedName function="false" hidden="true" localSheetId="0" name="_xlnm._FilterDatabase" vbProcedure="false">Dados!$A$1:$J$72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<sst xmlns="http://schemas.openxmlformats.org/spreadsheetml/2006/main" count="515" uniqueCount="160">
  <si>
    <t xml:space="preserve">Data</t>
  </si>
  <si>
    <t xml:space="preserve">Estabelecimento</t>
  </si>
  <si>
    <t xml:space="preserve">CNPJ</t>
  </si>
  <si>
    <t xml:space="preserve">Codigo</t>
  </si>
  <si>
    <t xml:space="preserve">Produto</t>
  </si>
  <si>
    <t xml:space="preserve">Qtde</t>
  </si>
  <si>
    <t xml:space="preserve">Unidade</t>
  </si>
  <si>
    <t xml:space="preserve">Vl. Unit.</t>
  </si>
  <si>
    <t xml:space="preserve">Vl. Total</t>
  </si>
  <si>
    <t xml:space="preserve">Nota (Numero)</t>
  </si>
  <si>
    <t xml:space="preserve">06/02/2026</t>
  </si>
  <si>
    <t xml:space="preserve">WMS SUPERMERCADOS DO BRASIL LTDA</t>
  </si>
  <si>
    <t xml:space="preserve">93.209.765/0697-45</t>
  </si>
  <si>
    <t xml:space="preserve">AR012380</t>
  </si>
  <si>
    <t xml:space="preserve">REF.COCA-COLA PET</t>
  </si>
  <si>
    <t xml:space="preserve">UND</t>
  </si>
  <si>
    <t xml:space="preserve">AR079088</t>
  </si>
  <si>
    <t xml:space="preserve">ENERGETICO MONSTER</t>
  </si>
  <si>
    <t xml:space="preserve">AR057007</t>
  </si>
  <si>
    <t xml:space="preserve">ENERG.MONSTER LATA</t>
  </si>
  <si>
    <t xml:space="preserve">AR021024</t>
  </si>
  <si>
    <t xml:space="preserve">NESCAFE MATINAL VDO</t>
  </si>
  <si>
    <t xml:space="preserve">AR076507</t>
  </si>
  <si>
    <t xml:space="preserve">QUEIJO RALADO</t>
  </si>
  <si>
    <t xml:space="preserve">AR074974</t>
  </si>
  <si>
    <t xml:space="preserve">CALDO SAZON COSTELA</t>
  </si>
  <si>
    <t xml:space="preserve">AR089273</t>
  </si>
  <si>
    <t xml:space="preserve">PAO FORMA KIM</t>
  </si>
  <si>
    <t xml:space="preserve">AR067491</t>
  </si>
  <si>
    <t xml:space="preserve">ERVILHA/MILHO BONARE</t>
  </si>
  <si>
    <t xml:space="preserve">AR045984</t>
  </si>
  <si>
    <t xml:space="preserve">OVO BCO GD PVC</t>
  </si>
  <si>
    <t xml:space="preserve">BDJ</t>
  </si>
  <si>
    <t xml:space="preserve">AR049706</t>
  </si>
  <si>
    <t xml:space="preserve">CREME LEITE PIRACAMJ</t>
  </si>
  <si>
    <t xml:space="preserve">AR011492</t>
  </si>
  <si>
    <t xml:space="preserve">MIX P/REFOGAR KITANO</t>
  </si>
  <si>
    <t xml:space="preserve">AR065005</t>
  </si>
  <si>
    <t xml:space="preserve">BISC.TRAKINAS RECH.</t>
  </si>
  <si>
    <t xml:space="preserve">AR076118</t>
  </si>
  <si>
    <t xml:space="preserve">MOLHO TOM.SALSARETTI</t>
  </si>
  <si>
    <t xml:space="preserve">AR041518</t>
  </si>
  <si>
    <t xml:space="preserve">FLOCAO MARATA</t>
  </si>
  <si>
    <t xml:space="preserve">AR001998</t>
  </si>
  <si>
    <t xml:space="preserve">MAC.D.BENTA OVO</t>
  </si>
  <si>
    <t xml:space="preserve">PCT</t>
  </si>
  <si>
    <t xml:space="preserve">AR067269</t>
  </si>
  <si>
    <t xml:space="preserve">ABS.ALWAYS NOT.SUAVE</t>
  </si>
  <si>
    <t xml:space="preserve">AR060023</t>
  </si>
  <si>
    <t xml:space="preserve">TOALHA PAPEL KLASS</t>
  </si>
  <si>
    <t xml:space="preserve">AR005732</t>
  </si>
  <si>
    <t xml:space="preserve">MAC.ADRIA PENA</t>
  </si>
  <si>
    <t xml:space="preserve">AR014692</t>
  </si>
  <si>
    <t xml:space="preserve">CEBOLA ATACADAO</t>
  </si>
  <si>
    <t xml:space="preserve">KG</t>
  </si>
  <si>
    <t xml:space="preserve">AR001532</t>
  </si>
  <si>
    <t xml:space="preserve">PIMENTAO AMARELO</t>
  </si>
  <si>
    <t xml:space="preserve">AR013453</t>
  </si>
  <si>
    <t xml:space="preserve">DET.LIQ.YPE</t>
  </si>
  <si>
    <t xml:space="preserve">AR013320</t>
  </si>
  <si>
    <t xml:space="preserve">PEITO FGO PERDIGAO F</t>
  </si>
  <si>
    <t xml:space="preserve">AR085615</t>
  </si>
  <si>
    <t xml:space="preserve">MUSS. SOBERANO FAT</t>
  </si>
  <si>
    <t xml:space="preserve">AR003073</t>
  </si>
  <si>
    <t xml:space="preserve">CAMARAO S/CABECA</t>
  </si>
  <si>
    <t xml:space="preserve">AR025730</t>
  </si>
  <si>
    <t xml:space="preserve">BIG CHICKEN PERDIGAO</t>
  </si>
  <si>
    <t xml:space="preserve">AR057773</t>
  </si>
  <si>
    <t xml:space="preserve">PAPEL HIG.RESIDENCE</t>
  </si>
  <si>
    <t xml:space="preserve">AR089038</t>
  </si>
  <si>
    <t xml:space="preserve">POLPA NORTE</t>
  </si>
  <si>
    <t xml:space="preserve">AR041046</t>
  </si>
  <si>
    <t xml:space="preserve">POLPA NORTE FRUTAS V</t>
  </si>
  <si>
    <t xml:space="preserve">AR004411</t>
  </si>
  <si>
    <t xml:space="preserve">MANTEIGA PRESIDENT</t>
  </si>
  <si>
    <t xml:space="preserve">AR074742</t>
  </si>
  <si>
    <t xml:space="preserve">TOALHA UMED.SELECT</t>
  </si>
  <si>
    <t xml:space="preserve">21/05/2026</t>
  </si>
  <si>
    <t xml:space="preserve">AR085466</t>
  </si>
  <si>
    <t xml:space="preserve">FR.QJO.PRATO IPAN F.</t>
  </si>
  <si>
    <t xml:space="preserve">AR082244</t>
  </si>
  <si>
    <t xml:space="preserve">PAO FORMA VISCONTI</t>
  </si>
  <si>
    <t xml:space="preserve">AR076455</t>
  </si>
  <si>
    <t xml:space="preserve">MIST.BOLO FLEISCHMAN</t>
  </si>
  <si>
    <t xml:space="preserve">AR075776</t>
  </si>
  <si>
    <t xml:space="preserve">CHA LEAO</t>
  </si>
  <si>
    <t xml:space="preserve">AR073287</t>
  </si>
  <si>
    <t xml:space="preserve">CHA DR OETKER</t>
  </si>
  <si>
    <t xml:space="preserve">AR006460</t>
  </si>
  <si>
    <t xml:space="preserve">CHA LEAO HORTELA</t>
  </si>
  <si>
    <t xml:space="preserve">AR089020</t>
  </si>
  <si>
    <t xml:space="preserve">CHA LEAO ICE TEA</t>
  </si>
  <si>
    <t xml:space="preserve">AR072055</t>
  </si>
  <si>
    <t xml:space="preserve">OVO GALINHAS LIVRE</t>
  </si>
  <si>
    <t xml:space="preserve">AR036874</t>
  </si>
  <si>
    <t xml:space="preserve">KIWI</t>
  </si>
  <si>
    <t xml:space="preserve">AR048106</t>
  </si>
  <si>
    <t xml:space="preserve">GOMA MANDIOCA TERRIN</t>
  </si>
  <si>
    <t xml:space="preserve">AR036877</t>
  </si>
  <si>
    <t xml:space="preserve">HF.UVA THOMPSON BDJ</t>
  </si>
  <si>
    <t xml:space="preserve">AR085698</t>
  </si>
  <si>
    <t xml:space="preserve">BOV.ACEM S/OSSO RESE</t>
  </si>
  <si>
    <t xml:space="preserve">AR014426</t>
  </si>
  <si>
    <t xml:space="preserve">IOGURTE FRUTAP</t>
  </si>
  <si>
    <t xml:space="preserve">AR097883</t>
  </si>
  <si>
    <t xml:space="preserve">GELATINA DR.OETKER</t>
  </si>
  <si>
    <t xml:space="preserve">AR097882</t>
  </si>
  <si>
    <t xml:space="preserve">AR064957</t>
  </si>
  <si>
    <t xml:space="preserve">RF.MANT.TOURINHO</t>
  </si>
  <si>
    <t xml:space="preserve">AR057913</t>
  </si>
  <si>
    <t xml:space="preserve">CHOC.NESTLE KIT KAT</t>
  </si>
  <si>
    <t xml:space="preserve">29/04/2026</t>
  </si>
  <si>
    <t xml:space="preserve">AR013936</t>
  </si>
  <si>
    <t xml:space="preserve">BATATA BULNEZ</t>
  </si>
  <si>
    <t xml:space="preserve">AR039147</t>
  </si>
  <si>
    <t xml:space="preserve">SUCO MARATA NECTAR</t>
  </si>
  <si>
    <t xml:space="preserve">AR035530</t>
  </si>
  <si>
    <t xml:space="preserve">SUCO MARATA MARACUJA</t>
  </si>
  <si>
    <t xml:space="preserve">AR066942</t>
  </si>
  <si>
    <t xml:space="preserve">PASSATA SACCIALI VD</t>
  </si>
  <si>
    <t xml:space="preserve">AR014191</t>
  </si>
  <si>
    <t xml:space="preserve">LEITE L. VIDA NINHO</t>
  </si>
  <si>
    <t xml:space="preserve">AR003674</t>
  </si>
  <si>
    <t xml:space="preserve">MANTEIGA AVIACAO</t>
  </si>
  <si>
    <t xml:space="preserve">PTE</t>
  </si>
  <si>
    <t xml:space="preserve">AR085533</t>
  </si>
  <si>
    <t xml:space="preserve">QUEIJO TIPO BRIE TIR</t>
  </si>
  <si>
    <t xml:space="preserve">AR068802</t>
  </si>
  <si>
    <t xml:space="preserve">PACOCA DACOLONIA</t>
  </si>
  <si>
    <t xml:space="preserve">AR055702</t>
  </si>
  <si>
    <t xml:space="preserve">HF.UVA VITORIA</t>
  </si>
  <si>
    <t xml:space="preserve">AR017978</t>
  </si>
  <si>
    <t xml:space="preserve">MAC.PETYBON COLOR</t>
  </si>
  <si>
    <t xml:space="preserve">AR008450</t>
  </si>
  <si>
    <t xml:space="preserve">PEITO PERU MARBA FAT</t>
  </si>
  <si>
    <t xml:space="preserve">AR085930</t>
  </si>
  <si>
    <t xml:space="preserve">QJO. CHEDDAR PROC.VI</t>
  </si>
  <si>
    <t xml:space="preserve">AR015111</t>
  </si>
  <si>
    <t xml:space="preserve">LEITE PO ITALAC</t>
  </si>
  <si>
    <t xml:space="preserve">AR010658</t>
  </si>
  <si>
    <t xml:space="preserve">DOCE LEITE ITAMBE</t>
  </si>
  <si>
    <t xml:space="preserve">AR082988</t>
  </si>
  <si>
    <t xml:space="preserve">MOLHO BILLY JACK</t>
  </si>
  <si>
    <t xml:space="preserve">AR084049</t>
  </si>
  <si>
    <t xml:space="preserve">AR001646</t>
  </si>
  <si>
    <t xml:space="preserve">BANANA PRATA</t>
  </si>
  <si>
    <t xml:space="preserve">AR001643</t>
  </si>
  <si>
    <t xml:space="preserve">BANANA NANICA</t>
  </si>
  <si>
    <t xml:space="preserve">AR046717</t>
  </si>
  <si>
    <t xml:space="preserve">CEREAL MAT.NESTLE</t>
  </si>
  <si>
    <t xml:space="preserve">Preco Min</t>
  </si>
  <si>
    <t xml:space="preserve">Preco Max</t>
  </si>
  <si>
    <t xml:space="preserve">Preco Medio</t>
  </si>
  <si>
    <t xml:space="preserve">Variacao R$</t>
  </si>
  <si>
    <t xml:space="preserve">Variacao %</t>
  </si>
  <si>
    <t xml:space="preserve">Nº Compras</t>
  </si>
  <si>
    <t xml:space="preserve">Nota</t>
  </si>
  <si>
    <t xml:space="preserve">Itens</t>
  </si>
  <si>
    <t xml:space="preserve">Total R$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</si>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</sst>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.0%"/>
    <numFmt numFmtId="167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s">
        <v>12</v>
      </c>
      <c r="D2" s="2" t="s">
        <v>13</v>
      </c>
      <c r="E2" s="3" t="s">
        <v>14</v>
      </c>
      <c r="F2" s="2" t="n">
        <v>2</v>
      </c>
      <c r="G2" s="2" t="s">
        <v>15</v>
      </c>
      <c r="H2" s="4" t="n">
        <v>11.99</v>
      </c>
      <c r="I2" s="4" t="n">
        <f aca="false">IF(F2="","",F2*H2)</f>
        <v>23.98</v>
      </c>
      <c r="J2" s="2" t="n">
        <v>17193</v>
      </c>
    </row>
    <row r="3" customFormat="false" ht="15" hidden="false" customHeight="false" outlineLevel="0" collapsed="false">
      <c r="A3" s="2" t="s">
        <v>10</v>
      </c>
      <c r="B3" s="3" t="s">
        <v>11</v>
      </c>
      <c r="C3" s="2" t="s">
        <v>12</v>
      </c>
      <c r="D3" s="2" t="s">
        <v>16</v>
      </c>
      <c r="E3" s="3" t="s">
        <v>17</v>
      </c>
      <c r="F3" s="2" t="n">
        <v>1</v>
      </c>
      <c r="G3" s="2" t="s">
        <v>15</v>
      </c>
      <c r="H3" s="4" t="n">
        <v>8.89</v>
      </c>
      <c r="I3" s="4" t="n">
        <f aca="false">IF(F3="","",F3*H3)</f>
        <v>8.89</v>
      </c>
      <c r="J3" s="2" t="n">
        <v>17193</v>
      </c>
    </row>
    <row r="4" customFormat="false" ht="15" hidden="false" customHeight="false" outlineLevel="0" collapsed="false">
      <c r="A4" s="2" t="s">
        <v>10</v>
      </c>
      <c r="B4" s="3" t="s">
        <v>11</v>
      </c>
      <c r="C4" s="2" t="s">
        <v>12</v>
      </c>
      <c r="D4" s="2" t="s">
        <v>18</v>
      </c>
      <c r="E4" s="3" t="s">
        <v>19</v>
      </c>
      <c r="F4" s="2" t="n">
        <v>1</v>
      </c>
      <c r="G4" s="2" t="s">
        <v>15</v>
      </c>
      <c r="H4" s="4" t="n">
        <v>8.89</v>
      </c>
      <c r="I4" s="4" t="n">
        <f aca="false">IF(F4="","",F4*H4)</f>
        <v>8.89</v>
      </c>
      <c r="J4" s="2" t="n">
        <v>17193</v>
      </c>
    </row>
    <row r="5" customFormat="false" ht="15" hidden="false" customHeight="false" outlineLevel="0" collapsed="false">
      <c r="A5" s="2" t="s">
        <v>10</v>
      </c>
      <c r="B5" s="3" t="s">
        <v>11</v>
      </c>
      <c r="C5" s="2" t="s">
        <v>12</v>
      </c>
      <c r="D5" s="2" t="s">
        <v>20</v>
      </c>
      <c r="E5" s="3" t="s">
        <v>21</v>
      </c>
      <c r="F5" s="2" t="n">
        <v>1</v>
      </c>
      <c r="G5" s="2" t="s">
        <v>15</v>
      </c>
      <c r="H5" s="4" t="n">
        <v>39.9</v>
      </c>
      <c r="I5" s="4" t="n">
        <f aca="false">IF(F5="","",F5*H5)</f>
        <v>39.9</v>
      </c>
      <c r="J5" s="2" t="n">
        <v>17193</v>
      </c>
    </row>
    <row r="6" customFormat="false" ht="15" hidden="false" customHeight="false" outlineLevel="0" collapsed="false">
      <c r="A6" s="2" t="s">
        <v>10</v>
      </c>
      <c r="B6" s="3" t="s">
        <v>11</v>
      </c>
      <c r="C6" s="2" t="s">
        <v>12</v>
      </c>
      <c r="D6" s="2" t="s">
        <v>22</v>
      </c>
      <c r="E6" s="3" t="s">
        <v>23</v>
      </c>
      <c r="F6" s="2" t="n">
        <v>4</v>
      </c>
      <c r="G6" s="2" t="s">
        <v>15</v>
      </c>
      <c r="H6" s="4" t="n">
        <v>3.39</v>
      </c>
      <c r="I6" s="4" t="n">
        <f aca="false">IF(F6="","",F6*H6)</f>
        <v>13.56</v>
      </c>
      <c r="J6" s="2" t="n">
        <v>17193</v>
      </c>
    </row>
    <row r="7" customFormat="false" ht="15" hidden="false" customHeight="false" outlineLevel="0" collapsed="false">
      <c r="A7" s="2" t="s">
        <v>10</v>
      </c>
      <c r="B7" s="3" t="s">
        <v>11</v>
      </c>
      <c r="C7" s="2" t="s">
        <v>12</v>
      </c>
      <c r="D7" s="2" t="s">
        <v>24</v>
      </c>
      <c r="E7" s="3" t="s">
        <v>25</v>
      </c>
      <c r="F7" s="2" t="n">
        <v>1</v>
      </c>
      <c r="G7" s="2" t="s">
        <v>15</v>
      </c>
      <c r="H7" s="4" t="n">
        <v>2.19</v>
      </c>
      <c r="I7" s="4" t="n">
        <f aca="false">IF(F7="","",F7*H7)</f>
        <v>2.19</v>
      </c>
      <c r="J7" s="2" t="n">
        <v>17193</v>
      </c>
    </row>
    <row r="8" customFormat="false" ht="15" hidden="false" customHeight="false" outlineLevel="0" collapsed="false">
      <c r="A8" s="2" t="s">
        <v>10</v>
      </c>
      <c r="B8" s="3" t="s">
        <v>11</v>
      </c>
      <c r="C8" s="2" t="s">
        <v>12</v>
      </c>
      <c r="D8" s="2" t="s">
        <v>26</v>
      </c>
      <c r="E8" s="3" t="s">
        <v>27</v>
      </c>
      <c r="F8" s="2" t="n">
        <v>1</v>
      </c>
      <c r="G8" s="2" t="s">
        <v>15</v>
      </c>
      <c r="H8" s="4" t="n">
        <v>5.49</v>
      </c>
      <c r="I8" s="4" t="n">
        <f aca="false">IF(F8="","",F8*H8)</f>
        <v>5.49</v>
      </c>
      <c r="J8" s="2" t="n">
        <v>17193</v>
      </c>
    </row>
    <row r="9" customFormat="false" ht="15" hidden="false" customHeight="false" outlineLevel="0" collapsed="false">
      <c r="A9" s="2" t="s">
        <v>10</v>
      </c>
      <c r="B9" s="3" t="s">
        <v>11</v>
      </c>
      <c r="C9" s="2" t="s">
        <v>12</v>
      </c>
      <c r="D9" s="2" t="s">
        <v>28</v>
      </c>
      <c r="E9" s="3" t="s">
        <v>29</v>
      </c>
      <c r="F9" s="2" t="n">
        <v>3</v>
      </c>
      <c r="G9" s="2" t="s">
        <v>15</v>
      </c>
      <c r="H9" s="4" t="n">
        <v>3.79</v>
      </c>
      <c r="I9" s="4" t="n">
        <f aca="false">IF(F9="","",F9*H9)</f>
        <v>11.37</v>
      </c>
      <c r="J9" s="2" t="n">
        <v>17193</v>
      </c>
    </row>
    <row r="10" customFormat="false" ht="15" hidden="false" customHeight="false" outlineLevel="0" collapsed="false">
      <c r="A10" s="2" t="s">
        <v>10</v>
      </c>
      <c r="B10" s="3" t="s">
        <v>11</v>
      </c>
      <c r="C10" s="2" t="s">
        <v>12</v>
      </c>
      <c r="D10" s="2" t="s">
        <v>30</v>
      </c>
      <c r="E10" s="3" t="s">
        <v>31</v>
      </c>
      <c r="F10" s="2" t="n">
        <v>1</v>
      </c>
      <c r="G10" s="2" t="s">
        <v>32</v>
      </c>
      <c r="H10" s="4" t="n">
        <v>9.9</v>
      </c>
      <c r="I10" s="4" t="n">
        <f aca="false">IF(F10="","",F10*H10)</f>
        <v>9.9</v>
      </c>
      <c r="J10" s="2" t="n">
        <v>17193</v>
      </c>
    </row>
    <row r="11" customFormat="false" ht="15" hidden="false" customHeight="false" outlineLevel="0" collapsed="false">
      <c r="A11" s="2" t="s">
        <v>10</v>
      </c>
      <c r="B11" s="3" t="s">
        <v>11</v>
      </c>
      <c r="C11" s="2" t="s">
        <v>12</v>
      </c>
      <c r="D11" s="2" t="s">
        <v>33</v>
      </c>
      <c r="E11" s="3" t="s">
        <v>34</v>
      </c>
      <c r="F11" s="2" t="n">
        <v>3</v>
      </c>
      <c r="G11" s="2" t="s">
        <v>15</v>
      </c>
      <c r="H11" s="4" t="n">
        <v>4.79</v>
      </c>
      <c r="I11" s="4" t="n">
        <f aca="false">IF(F11="","",F11*H11)</f>
        <v>14.37</v>
      </c>
      <c r="J11" s="2" t="n">
        <v>17193</v>
      </c>
    </row>
    <row r="12" customFormat="false" ht="15" hidden="false" customHeight="false" outlineLevel="0" collapsed="false">
      <c r="A12" s="2" t="s">
        <v>10</v>
      </c>
      <c r="B12" s="3" t="s">
        <v>11</v>
      </c>
      <c r="C12" s="2" t="s">
        <v>12</v>
      </c>
      <c r="D12" s="2" t="s">
        <v>35</v>
      </c>
      <c r="E12" s="3" t="s">
        <v>36</v>
      </c>
      <c r="F12" s="2" t="n">
        <v>1</v>
      </c>
      <c r="G12" s="2" t="s">
        <v>15</v>
      </c>
      <c r="H12" s="4" t="n">
        <v>6.5</v>
      </c>
      <c r="I12" s="4" t="n">
        <f aca="false">IF(F12="","",F12*H12)</f>
        <v>6.5</v>
      </c>
      <c r="J12" s="2" t="n">
        <v>17193</v>
      </c>
    </row>
    <row r="13" customFormat="false" ht="15" hidden="false" customHeight="false" outlineLevel="0" collapsed="false">
      <c r="A13" s="2" t="s">
        <v>10</v>
      </c>
      <c r="B13" s="3" t="s">
        <v>11</v>
      </c>
      <c r="C13" s="2" t="s">
        <v>12</v>
      </c>
      <c r="D13" s="2" t="s">
        <v>37</v>
      </c>
      <c r="E13" s="3" t="s">
        <v>38</v>
      </c>
      <c r="F13" s="2" t="n">
        <v>3</v>
      </c>
      <c r="G13" s="2" t="s">
        <v>15</v>
      </c>
      <c r="H13" s="4" t="n">
        <v>3.25</v>
      </c>
      <c r="I13" s="4" t="n">
        <f aca="false">IF(F13="","",F13*H13)</f>
        <v>9.75</v>
      </c>
      <c r="J13" s="2" t="n">
        <v>17193</v>
      </c>
    </row>
    <row r="14" customFormat="false" ht="15" hidden="false" customHeight="false" outlineLevel="0" collapsed="false">
      <c r="A14" s="2" t="s">
        <v>10</v>
      </c>
      <c r="B14" s="3" t="s">
        <v>11</v>
      </c>
      <c r="C14" s="2" t="s">
        <v>12</v>
      </c>
      <c r="D14" s="2" t="s">
        <v>39</v>
      </c>
      <c r="E14" s="3" t="s">
        <v>40</v>
      </c>
      <c r="F14" s="2" t="n">
        <v>4</v>
      </c>
      <c r="G14" s="2" t="s">
        <v>15</v>
      </c>
      <c r="H14" s="4" t="n">
        <v>3.99</v>
      </c>
      <c r="I14" s="4" t="n">
        <f aca="false">IF(F14="","",F14*H14)</f>
        <v>15.96</v>
      </c>
      <c r="J14" s="2" t="n">
        <v>17193</v>
      </c>
    </row>
    <row r="15" customFormat="false" ht="15" hidden="false" customHeight="false" outlineLevel="0" collapsed="false">
      <c r="A15" s="2" t="s">
        <v>10</v>
      </c>
      <c r="B15" s="3" t="s">
        <v>11</v>
      </c>
      <c r="C15" s="2" t="s">
        <v>12</v>
      </c>
      <c r="D15" s="2" t="s">
        <v>41</v>
      </c>
      <c r="E15" s="3" t="s">
        <v>42</v>
      </c>
      <c r="F15" s="2" t="n">
        <v>4</v>
      </c>
      <c r="G15" s="2" t="s">
        <v>15</v>
      </c>
      <c r="H15" s="4" t="n">
        <v>2.49</v>
      </c>
      <c r="I15" s="4" t="n">
        <f aca="false">IF(F15="","",F15*H15)</f>
        <v>9.96</v>
      </c>
      <c r="J15" s="2" t="n">
        <v>17193</v>
      </c>
    </row>
    <row r="16" customFormat="false" ht="15" hidden="false" customHeight="false" outlineLevel="0" collapsed="false">
      <c r="A16" s="2" t="s">
        <v>10</v>
      </c>
      <c r="B16" s="3" t="s">
        <v>11</v>
      </c>
      <c r="C16" s="2" t="s">
        <v>12</v>
      </c>
      <c r="D16" s="2" t="s">
        <v>43</v>
      </c>
      <c r="E16" s="3" t="s">
        <v>44</v>
      </c>
      <c r="F16" s="2" t="n">
        <v>2</v>
      </c>
      <c r="G16" s="2" t="s">
        <v>45</v>
      </c>
      <c r="H16" s="4" t="n">
        <v>3.29</v>
      </c>
      <c r="I16" s="4" t="n">
        <f aca="false">IF(F16="","",F16*H16)</f>
        <v>6.58</v>
      </c>
      <c r="J16" s="2" t="n">
        <v>17193</v>
      </c>
    </row>
    <row r="17" customFormat="false" ht="15" hidden="false" customHeight="false" outlineLevel="0" collapsed="false">
      <c r="A17" s="2" t="s">
        <v>10</v>
      </c>
      <c r="B17" s="3" t="s">
        <v>11</v>
      </c>
      <c r="C17" s="2" t="s">
        <v>12</v>
      </c>
      <c r="D17" s="2" t="s">
        <v>46</v>
      </c>
      <c r="E17" s="3" t="s">
        <v>47</v>
      </c>
      <c r="F17" s="2" t="n">
        <v>1</v>
      </c>
      <c r="G17" s="2" t="s">
        <v>15</v>
      </c>
      <c r="H17" s="4" t="n">
        <v>19.9</v>
      </c>
      <c r="I17" s="4" t="n">
        <f aca="false">IF(F17="","",F17*H17)</f>
        <v>19.9</v>
      </c>
      <c r="J17" s="2" t="n">
        <v>17193</v>
      </c>
    </row>
    <row r="18" customFormat="false" ht="15" hidden="false" customHeight="false" outlineLevel="0" collapsed="false">
      <c r="A18" s="2" t="s">
        <v>10</v>
      </c>
      <c r="B18" s="3" t="s">
        <v>11</v>
      </c>
      <c r="C18" s="2" t="s">
        <v>12</v>
      </c>
      <c r="D18" s="2" t="s">
        <v>48</v>
      </c>
      <c r="E18" s="3" t="s">
        <v>49</v>
      </c>
      <c r="F18" s="2" t="n">
        <v>1</v>
      </c>
      <c r="G18" s="2" t="s">
        <v>15</v>
      </c>
      <c r="H18" s="4" t="n">
        <v>4.49</v>
      </c>
      <c r="I18" s="4" t="n">
        <f aca="false">IF(F18="","",F18*H18)</f>
        <v>4.49</v>
      </c>
      <c r="J18" s="2" t="n">
        <v>17193</v>
      </c>
    </row>
    <row r="19" customFormat="false" ht="15" hidden="false" customHeight="false" outlineLevel="0" collapsed="false">
      <c r="A19" s="2" t="s">
        <v>10</v>
      </c>
      <c r="B19" s="3" t="s">
        <v>11</v>
      </c>
      <c r="C19" s="2" t="s">
        <v>12</v>
      </c>
      <c r="D19" s="2" t="s">
        <v>50</v>
      </c>
      <c r="E19" s="3" t="s">
        <v>51</v>
      </c>
      <c r="F19" s="2" t="n">
        <v>2</v>
      </c>
      <c r="G19" s="2" t="s">
        <v>45</v>
      </c>
      <c r="H19" s="4" t="n">
        <v>3.59</v>
      </c>
      <c r="I19" s="4" t="n">
        <f aca="false">IF(F19="","",F19*H19)</f>
        <v>7.18</v>
      </c>
      <c r="J19" s="2" t="n">
        <v>17193</v>
      </c>
    </row>
    <row r="20" customFormat="false" ht="15" hidden="false" customHeight="false" outlineLevel="0" collapsed="false">
      <c r="A20" s="2" t="s">
        <v>10</v>
      </c>
      <c r="B20" s="3" t="s">
        <v>11</v>
      </c>
      <c r="C20" s="2" t="s">
        <v>12</v>
      </c>
      <c r="D20" s="2" t="s">
        <v>52</v>
      </c>
      <c r="E20" s="3" t="s">
        <v>53</v>
      </c>
      <c r="F20" s="2" t="n">
        <v>0.495</v>
      </c>
      <c r="G20" s="2" t="s">
        <v>54</v>
      </c>
      <c r="H20" s="4" t="n">
        <v>3.29</v>
      </c>
      <c r="I20" s="4" t="n">
        <f aca="false">IF(F20="","",F20*H20)</f>
        <v>1.62855</v>
      </c>
      <c r="J20" s="2" t="n">
        <v>17193</v>
      </c>
    </row>
    <row r="21" customFormat="false" ht="15" hidden="false" customHeight="false" outlineLevel="0" collapsed="false">
      <c r="A21" s="2" t="s">
        <v>10</v>
      </c>
      <c r="B21" s="3" t="s">
        <v>11</v>
      </c>
      <c r="C21" s="2" t="s">
        <v>12</v>
      </c>
      <c r="D21" s="2" t="s">
        <v>55</v>
      </c>
      <c r="E21" s="3" t="s">
        <v>56</v>
      </c>
      <c r="F21" s="2" t="n">
        <v>0.18</v>
      </c>
      <c r="G21" s="2" t="s">
        <v>54</v>
      </c>
      <c r="H21" s="4" t="n">
        <v>18.9</v>
      </c>
      <c r="I21" s="4" t="n">
        <f aca="false">IF(F21="","",F21*H21)</f>
        <v>3.402</v>
      </c>
      <c r="J21" s="2" t="n">
        <v>17193</v>
      </c>
    </row>
    <row r="22" customFormat="false" ht="15" hidden="false" customHeight="false" outlineLevel="0" collapsed="false">
      <c r="A22" s="2" t="s">
        <v>10</v>
      </c>
      <c r="B22" s="3" t="s">
        <v>11</v>
      </c>
      <c r="C22" s="2" t="s">
        <v>12</v>
      </c>
      <c r="D22" s="2" t="s">
        <v>57</v>
      </c>
      <c r="E22" s="3" t="s">
        <v>58</v>
      </c>
      <c r="F22" s="2" t="n">
        <v>2</v>
      </c>
      <c r="G22" s="2" t="s">
        <v>15</v>
      </c>
      <c r="H22" s="4" t="n">
        <v>1.99</v>
      </c>
      <c r="I22" s="4" t="n">
        <f aca="false">IF(F22="","",F22*H22)</f>
        <v>3.98</v>
      </c>
      <c r="J22" s="2" t="n">
        <v>17193</v>
      </c>
    </row>
    <row r="23" customFormat="false" ht="15" hidden="false" customHeight="false" outlineLevel="0" collapsed="false">
      <c r="A23" s="2" t="s">
        <v>10</v>
      </c>
      <c r="B23" s="3" t="s">
        <v>11</v>
      </c>
      <c r="C23" s="2" t="s">
        <v>12</v>
      </c>
      <c r="D23" s="2" t="s">
        <v>59</v>
      </c>
      <c r="E23" s="3" t="s">
        <v>60</v>
      </c>
      <c r="F23" s="2" t="n">
        <v>0.306</v>
      </c>
      <c r="G23" s="2" t="s">
        <v>54</v>
      </c>
      <c r="H23" s="4" t="n">
        <v>59.9</v>
      </c>
      <c r="I23" s="4" t="n">
        <f aca="false">IF(F23="","",F23*H23)</f>
        <v>18.3294</v>
      </c>
      <c r="J23" s="2" t="n">
        <v>17193</v>
      </c>
    </row>
    <row r="24" customFormat="false" ht="15" hidden="false" customHeight="false" outlineLevel="0" collapsed="false">
      <c r="A24" s="2" t="s">
        <v>10</v>
      </c>
      <c r="B24" s="3" t="s">
        <v>11</v>
      </c>
      <c r="C24" s="2" t="s">
        <v>12</v>
      </c>
      <c r="D24" s="2" t="s">
        <v>61</v>
      </c>
      <c r="E24" s="3" t="s">
        <v>62</v>
      </c>
      <c r="F24" s="2" t="n">
        <v>0.402</v>
      </c>
      <c r="G24" s="2" t="s">
        <v>54</v>
      </c>
      <c r="H24" s="4" t="n">
        <v>42.9</v>
      </c>
      <c r="I24" s="4" t="n">
        <f aca="false">IF(F24="","",F24*H24)</f>
        <v>17.2458</v>
      </c>
      <c r="J24" s="2" t="n">
        <v>17193</v>
      </c>
    </row>
    <row r="25" customFormat="false" ht="15" hidden="false" customHeight="false" outlineLevel="0" collapsed="false">
      <c r="A25" s="2" t="s">
        <v>10</v>
      </c>
      <c r="B25" s="3" t="s">
        <v>11</v>
      </c>
      <c r="C25" s="2" t="s">
        <v>12</v>
      </c>
      <c r="D25" s="2" t="s">
        <v>63</v>
      </c>
      <c r="E25" s="3" t="s">
        <v>64</v>
      </c>
      <c r="F25" s="2" t="n">
        <v>3</v>
      </c>
      <c r="G25" s="2" t="s">
        <v>15</v>
      </c>
      <c r="H25" s="4" t="n">
        <v>24.9</v>
      </c>
      <c r="I25" s="4" t="n">
        <f aca="false">IF(F25="","",F25*H25)</f>
        <v>74.7</v>
      </c>
      <c r="J25" s="2" t="n">
        <v>17193</v>
      </c>
    </row>
    <row r="26" customFormat="false" ht="15" hidden="false" customHeight="false" outlineLevel="0" collapsed="false">
      <c r="A26" s="2" t="s">
        <v>10</v>
      </c>
      <c r="B26" s="3" t="s">
        <v>11</v>
      </c>
      <c r="C26" s="2" t="s">
        <v>12</v>
      </c>
      <c r="D26" s="2" t="s">
        <v>65</v>
      </c>
      <c r="E26" s="3" t="s">
        <v>66</v>
      </c>
      <c r="F26" s="2" t="n">
        <v>1</v>
      </c>
      <c r="G26" s="2" t="s">
        <v>45</v>
      </c>
      <c r="H26" s="4" t="n">
        <v>26.5</v>
      </c>
      <c r="I26" s="4" t="n">
        <f aca="false">IF(F26="","",F26*H26)</f>
        <v>26.5</v>
      </c>
      <c r="J26" s="2" t="n">
        <v>17193</v>
      </c>
    </row>
    <row r="27" customFormat="false" ht="15" hidden="false" customHeight="false" outlineLevel="0" collapsed="false">
      <c r="A27" s="2" t="s">
        <v>10</v>
      </c>
      <c r="B27" s="3" t="s">
        <v>11</v>
      </c>
      <c r="C27" s="2" t="s">
        <v>12</v>
      </c>
      <c r="D27" s="2" t="s">
        <v>67</v>
      </c>
      <c r="E27" s="3" t="s">
        <v>68</v>
      </c>
      <c r="F27" s="2" t="n">
        <v>1</v>
      </c>
      <c r="G27" s="2" t="s">
        <v>15</v>
      </c>
      <c r="H27" s="4" t="n">
        <v>17.9</v>
      </c>
      <c r="I27" s="4" t="n">
        <f aca="false">IF(F27="","",F27*H27)</f>
        <v>17.9</v>
      </c>
      <c r="J27" s="2" t="n">
        <v>17193</v>
      </c>
    </row>
    <row r="28" customFormat="false" ht="15" hidden="false" customHeight="false" outlineLevel="0" collapsed="false">
      <c r="A28" s="2" t="s">
        <v>10</v>
      </c>
      <c r="B28" s="3" t="s">
        <v>11</v>
      </c>
      <c r="C28" s="2" t="s">
        <v>12</v>
      </c>
      <c r="D28" s="2" t="s">
        <v>69</v>
      </c>
      <c r="E28" s="3" t="s">
        <v>70</v>
      </c>
      <c r="F28" s="2" t="n">
        <v>4</v>
      </c>
      <c r="G28" s="2" t="s">
        <v>15</v>
      </c>
      <c r="H28" s="4" t="n">
        <v>2.29</v>
      </c>
      <c r="I28" s="4" t="n">
        <f aca="false">IF(F28="","",F28*H28)</f>
        <v>9.16</v>
      </c>
      <c r="J28" s="2" t="n">
        <v>17193</v>
      </c>
    </row>
    <row r="29" customFormat="false" ht="15" hidden="false" customHeight="false" outlineLevel="0" collapsed="false">
      <c r="A29" s="2" t="s">
        <v>10</v>
      </c>
      <c r="B29" s="3" t="s">
        <v>11</v>
      </c>
      <c r="C29" s="2" t="s">
        <v>12</v>
      </c>
      <c r="D29" s="2" t="s">
        <v>71</v>
      </c>
      <c r="E29" s="3" t="s">
        <v>72</v>
      </c>
      <c r="F29" s="2" t="n">
        <v>6</v>
      </c>
      <c r="G29" s="2" t="s">
        <v>15</v>
      </c>
      <c r="H29" s="4" t="n">
        <v>3.19</v>
      </c>
      <c r="I29" s="4" t="n">
        <f aca="false">IF(F29="","",F29*H29)</f>
        <v>19.14</v>
      </c>
      <c r="J29" s="2" t="n">
        <v>17193</v>
      </c>
    </row>
    <row r="30" customFormat="false" ht="15" hidden="false" customHeight="false" outlineLevel="0" collapsed="false">
      <c r="A30" s="2" t="s">
        <v>10</v>
      </c>
      <c r="B30" s="3" t="s">
        <v>11</v>
      </c>
      <c r="C30" s="2" t="s">
        <v>12</v>
      </c>
      <c r="D30" s="2" t="s">
        <v>73</v>
      </c>
      <c r="E30" s="3" t="s">
        <v>74</v>
      </c>
      <c r="F30" s="2" t="n">
        <v>1</v>
      </c>
      <c r="G30" s="2" t="s">
        <v>15</v>
      </c>
      <c r="H30" s="4" t="n">
        <v>12.9</v>
      </c>
      <c r="I30" s="4" t="n">
        <f aca="false">IF(F30="","",F30*H30)</f>
        <v>12.9</v>
      </c>
      <c r="J30" s="2" t="n">
        <v>17193</v>
      </c>
    </row>
    <row r="31" customFormat="false" ht="15" hidden="false" customHeight="false" outlineLevel="0" collapsed="false">
      <c r="A31" s="2" t="s">
        <v>10</v>
      </c>
      <c r="B31" s="3" t="s">
        <v>11</v>
      </c>
      <c r="C31" s="2" t="s">
        <v>12</v>
      </c>
      <c r="D31" s="2" t="s">
        <v>75</v>
      </c>
      <c r="E31" s="3" t="s">
        <v>76</v>
      </c>
      <c r="F31" s="2" t="n">
        <v>1</v>
      </c>
      <c r="G31" s="2" t="s">
        <v>15</v>
      </c>
      <c r="H31" s="4" t="n">
        <v>7.99</v>
      </c>
      <c r="I31" s="4" t="n">
        <f aca="false">IF(F31="","",F31*H31)</f>
        <v>7.99</v>
      </c>
      <c r="J31" s="2" t="n">
        <v>17193</v>
      </c>
    </row>
    <row r="32" customFormat="false" ht="15" hidden="false" customHeight="false" outlineLevel="0" collapsed="false">
      <c r="A32" s="2" t="s">
        <v>77</v>
      </c>
      <c r="B32" s="3" t="s">
        <v>11</v>
      </c>
      <c r="C32" s="2" t="s">
        <v>12</v>
      </c>
      <c r="D32" s="2" t="s">
        <v>78</v>
      </c>
      <c r="E32" s="3" t="s">
        <v>79</v>
      </c>
      <c r="F32" s="2" t="n">
        <v>0.398</v>
      </c>
      <c r="G32" s="2" t="s">
        <v>54</v>
      </c>
      <c r="H32" s="4" t="n">
        <v>56.9</v>
      </c>
      <c r="I32" s="4" t="n">
        <f aca="false">IF(F32="","",F32*H32)</f>
        <v>22.6462</v>
      </c>
      <c r="J32" s="2" t="n">
        <v>30439</v>
      </c>
    </row>
    <row r="33" customFormat="false" ht="15" hidden="false" customHeight="false" outlineLevel="0" collapsed="false">
      <c r="A33" s="2" t="s">
        <v>77</v>
      </c>
      <c r="B33" s="3" t="s">
        <v>11</v>
      </c>
      <c r="C33" s="2" t="s">
        <v>12</v>
      </c>
      <c r="D33" s="2" t="s">
        <v>80</v>
      </c>
      <c r="E33" s="3" t="s">
        <v>81</v>
      </c>
      <c r="F33" s="2" t="n">
        <v>1</v>
      </c>
      <c r="G33" s="2" t="s">
        <v>15</v>
      </c>
      <c r="H33" s="4" t="n">
        <v>7.89</v>
      </c>
      <c r="I33" s="4" t="n">
        <f aca="false">IF(F33="","",F33*H33)</f>
        <v>7.89</v>
      </c>
      <c r="J33" s="2" t="n">
        <v>30439</v>
      </c>
    </row>
    <row r="34" customFormat="false" ht="15" hidden="false" customHeight="false" outlineLevel="0" collapsed="false">
      <c r="A34" s="2" t="s">
        <v>77</v>
      </c>
      <c r="B34" s="3" t="s">
        <v>11</v>
      </c>
      <c r="C34" s="2" t="s">
        <v>12</v>
      </c>
      <c r="D34" s="2" t="s">
        <v>82</v>
      </c>
      <c r="E34" s="3" t="s">
        <v>83</v>
      </c>
      <c r="F34" s="2" t="n">
        <v>1</v>
      </c>
      <c r="G34" s="2" t="s">
        <v>15</v>
      </c>
      <c r="H34" s="4" t="n">
        <v>8.78</v>
      </c>
      <c r="I34" s="4" t="n">
        <f aca="false">IF(F34="","",F34*H34)</f>
        <v>8.78</v>
      </c>
      <c r="J34" s="2" t="n">
        <v>30439</v>
      </c>
    </row>
    <row r="35" customFormat="false" ht="15" hidden="false" customHeight="false" outlineLevel="0" collapsed="false">
      <c r="A35" s="2" t="s">
        <v>77</v>
      </c>
      <c r="B35" s="3" t="s">
        <v>11</v>
      </c>
      <c r="C35" s="2" t="s">
        <v>12</v>
      </c>
      <c r="D35" s="2" t="s">
        <v>84</v>
      </c>
      <c r="E35" s="3" t="s">
        <v>85</v>
      </c>
      <c r="F35" s="2" t="n">
        <v>1</v>
      </c>
      <c r="G35" s="2" t="s">
        <v>15</v>
      </c>
      <c r="H35" s="4" t="n">
        <v>7.48</v>
      </c>
      <c r="I35" s="4" t="n">
        <f aca="false">IF(F35="","",F35*H35)</f>
        <v>7.48</v>
      </c>
      <c r="J35" s="2" t="n">
        <v>30439</v>
      </c>
    </row>
    <row r="36" customFormat="false" ht="15" hidden="false" customHeight="false" outlineLevel="0" collapsed="false">
      <c r="A36" s="2" t="s">
        <v>77</v>
      </c>
      <c r="B36" s="3" t="s">
        <v>11</v>
      </c>
      <c r="C36" s="2" t="s">
        <v>12</v>
      </c>
      <c r="D36" s="2" t="s">
        <v>86</v>
      </c>
      <c r="E36" s="3" t="s">
        <v>87</v>
      </c>
      <c r="F36" s="2" t="n">
        <v>1</v>
      </c>
      <c r="G36" s="2" t="s">
        <v>15</v>
      </c>
      <c r="H36" s="4" t="n">
        <v>7.58</v>
      </c>
      <c r="I36" s="4" t="n">
        <f aca="false">IF(F36="","",F36*H36)</f>
        <v>7.58</v>
      </c>
      <c r="J36" s="2" t="n">
        <v>30439</v>
      </c>
    </row>
    <row r="37" customFormat="false" ht="15" hidden="false" customHeight="false" outlineLevel="0" collapsed="false">
      <c r="A37" s="2" t="s">
        <v>77</v>
      </c>
      <c r="B37" s="3" t="s">
        <v>11</v>
      </c>
      <c r="C37" s="2" t="s">
        <v>12</v>
      </c>
      <c r="D37" s="2" t="s">
        <v>88</v>
      </c>
      <c r="E37" s="3" t="s">
        <v>89</v>
      </c>
      <c r="F37" s="2" t="n">
        <v>1</v>
      </c>
      <c r="G37" s="2" t="s">
        <v>15</v>
      </c>
      <c r="H37" s="4" t="n">
        <v>3.28</v>
      </c>
      <c r="I37" s="4" t="n">
        <f aca="false">IF(F37="","",F37*H37)</f>
        <v>3.28</v>
      </c>
      <c r="J37" s="2" t="n">
        <v>30439</v>
      </c>
    </row>
    <row r="38" customFormat="false" ht="15" hidden="false" customHeight="false" outlineLevel="0" collapsed="false">
      <c r="A38" s="2" t="s">
        <v>77</v>
      </c>
      <c r="B38" s="3" t="s">
        <v>11</v>
      </c>
      <c r="C38" s="2" t="s">
        <v>12</v>
      </c>
      <c r="D38" s="2" t="s">
        <v>90</v>
      </c>
      <c r="E38" s="3" t="s">
        <v>91</v>
      </c>
      <c r="F38" s="2" t="n">
        <v>1</v>
      </c>
      <c r="G38" s="2" t="s">
        <v>15</v>
      </c>
      <c r="H38" s="4" t="n">
        <v>10.98</v>
      </c>
      <c r="I38" s="4" t="n">
        <f aca="false">IF(F38="","",F38*H38)</f>
        <v>10.98</v>
      </c>
      <c r="J38" s="2" t="n">
        <v>30439</v>
      </c>
    </row>
    <row r="39" customFormat="false" ht="15" hidden="false" customHeight="false" outlineLevel="0" collapsed="false">
      <c r="A39" s="2" t="s">
        <v>77</v>
      </c>
      <c r="B39" s="3" t="s">
        <v>11</v>
      </c>
      <c r="C39" s="2" t="s">
        <v>12</v>
      </c>
      <c r="D39" s="2" t="s">
        <v>92</v>
      </c>
      <c r="E39" s="3" t="s">
        <v>93</v>
      </c>
      <c r="F39" s="2" t="n">
        <v>1</v>
      </c>
      <c r="G39" s="2" t="s">
        <v>32</v>
      </c>
      <c r="H39" s="4" t="n">
        <v>18.9</v>
      </c>
      <c r="I39" s="4" t="n">
        <f aca="false">IF(F39="","",F39*H39)</f>
        <v>18.9</v>
      </c>
      <c r="J39" s="2" t="n">
        <v>30439</v>
      </c>
    </row>
    <row r="40" customFormat="false" ht="15" hidden="false" customHeight="false" outlineLevel="0" collapsed="false">
      <c r="A40" s="2" t="s">
        <v>77</v>
      </c>
      <c r="B40" s="3" t="s">
        <v>11</v>
      </c>
      <c r="C40" s="2" t="s">
        <v>12</v>
      </c>
      <c r="D40" s="2" t="s">
        <v>94</v>
      </c>
      <c r="E40" s="3" t="s">
        <v>95</v>
      </c>
      <c r="F40" s="2" t="n">
        <v>1</v>
      </c>
      <c r="G40" s="2" t="s">
        <v>32</v>
      </c>
      <c r="H40" s="4" t="n">
        <v>12.5</v>
      </c>
      <c r="I40" s="4" t="n">
        <f aca="false">IF(F40="","",F40*H40)</f>
        <v>12.5</v>
      </c>
      <c r="J40" s="2" t="n">
        <v>30439</v>
      </c>
    </row>
    <row r="41" customFormat="false" ht="15" hidden="false" customHeight="false" outlineLevel="0" collapsed="false">
      <c r="A41" s="2" t="s">
        <v>77</v>
      </c>
      <c r="B41" s="3" t="s">
        <v>11</v>
      </c>
      <c r="C41" s="2" t="s">
        <v>12</v>
      </c>
      <c r="D41" s="2" t="s">
        <v>96</v>
      </c>
      <c r="E41" s="3" t="s">
        <v>97</v>
      </c>
      <c r="F41" s="2" t="n">
        <v>2</v>
      </c>
      <c r="G41" s="2" t="s">
        <v>15</v>
      </c>
      <c r="H41" s="4" t="n">
        <v>7.98</v>
      </c>
      <c r="I41" s="4" t="n">
        <f aca="false">IF(F41="","",F41*H41)</f>
        <v>15.96</v>
      </c>
      <c r="J41" s="2" t="n">
        <v>30439</v>
      </c>
    </row>
    <row r="42" customFormat="false" ht="15" hidden="false" customHeight="false" outlineLevel="0" collapsed="false">
      <c r="A42" s="2" t="s">
        <v>77</v>
      </c>
      <c r="B42" s="3" t="s">
        <v>11</v>
      </c>
      <c r="C42" s="2" t="s">
        <v>12</v>
      </c>
      <c r="D42" s="2" t="s">
        <v>98</v>
      </c>
      <c r="E42" s="3" t="s">
        <v>99</v>
      </c>
      <c r="F42" s="2" t="n">
        <v>1</v>
      </c>
      <c r="G42" s="2" t="s">
        <v>32</v>
      </c>
      <c r="H42" s="4" t="n">
        <v>11.9</v>
      </c>
      <c r="I42" s="4" t="n">
        <f aca="false">IF(F42="","",F42*H42)</f>
        <v>11.9</v>
      </c>
      <c r="J42" s="2" t="n">
        <v>30439</v>
      </c>
    </row>
    <row r="43" customFormat="false" ht="15" hidden="false" customHeight="false" outlineLevel="0" collapsed="false">
      <c r="A43" s="2" t="s">
        <v>77</v>
      </c>
      <c r="B43" s="3" t="s">
        <v>11</v>
      </c>
      <c r="C43" s="2" t="s">
        <v>12</v>
      </c>
      <c r="D43" s="2" t="s">
        <v>100</v>
      </c>
      <c r="E43" s="3" t="s">
        <v>101</v>
      </c>
      <c r="F43" s="2" t="n">
        <v>1.02</v>
      </c>
      <c r="G43" s="2" t="s">
        <v>54</v>
      </c>
      <c r="H43" s="4" t="n">
        <v>37.9</v>
      </c>
      <c r="I43" s="4" t="n">
        <f aca="false">IF(F43="","",F43*H43)</f>
        <v>38.658</v>
      </c>
      <c r="J43" s="2" t="n">
        <v>30439</v>
      </c>
    </row>
    <row r="44" customFormat="false" ht="15" hidden="false" customHeight="false" outlineLevel="0" collapsed="false">
      <c r="A44" s="2" t="s">
        <v>77</v>
      </c>
      <c r="B44" s="3" t="s">
        <v>11</v>
      </c>
      <c r="C44" s="2" t="s">
        <v>12</v>
      </c>
      <c r="D44" s="2" t="s">
        <v>102</v>
      </c>
      <c r="E44" s="3" t="s">
        <v>103</v>
      </c>
      <c r="F44" s="2" t="n">
        <v>1</v>
      </c>
      <c r="G44" s="2" t="s">
        <v>15</v>
      </c>
      <c r="H44" s="4" t="n">
        <v>12.9</v>
      </c>
      <c r="I44" s="4" t="n">
        <f aca="false">IF(F44="","",F44*H44)</f>
        <v>12.9</v>
      </c>
      <c r="J44" s="2" t="n">
        <v>30439</v>
      </c>
    </row>
    <row r="45" customFormat="false" ht="15" hidden="false" customHeight="false" outlineLevel="0" collapsed="false">
      <c r="A45" s="2" t="s">
        <v>77</v>
      </c>
      <c r="B45" s="3" t="s">
        <v>11</v>
      </c>
      <c r="C45" s="2" t="s">
        <v>12</v>
      </c>
      <c r="D45" s="2" t="s">
        <v>104</v>
      </c>
      <c r="E45" s="3" t="s">
        <v>105</v>
      </c>
      <c r="F45" s="2" t="n">
        <v>1</v>
      </c>
      <c r="G45" s="2" t="s">
        <v>15</v>
      </c>
      <c r="H45" s="4" t="n">
        <v>1.45</v>
      </c>
      <c r="I45" s="4" t="n">
        <f aca="false">IF(F45="","",F45*H45)</f>
        <v>1.45</v>
      </c>
      <c r="J45" s="2" t="n">
        <v>30439</v>
      </c>
    </row>
    <row r="46" customFormat="false" ht="15" hidden="false" customHeight="false" outlineLevel="0" collapsed="false">
      <c r="A46" s="2" t="s">
        <v>77</v>
      </c>
      <c r="B46" s="3" t="s">
        <v>11</v>
      </c>
      <c r="C46" s="2" t="s">
        <v>12</v>
      </c>
      <c r="D46" s="2" t="s">
        <v>106</v>
      </c>
      <c r="E46" s="3" t="s">
        <v>105</v>
      </c>
      <c r="F46" s="2" t="n">
        <v>1</v>
      </c>
      <c r="G46" s="2" t="s">
        <v>15</v>
      </c>
      <c r="H46" s="4" t="n">
        <v>1.45</v>
      </c>
      <c r="I46" s="4" t="n">
        <f aca="false">IF(F46="","",F46*H46)</f>
        <v>1.45</v>
      </c>
      <c r="J46" s="2" t="n">
        <v>30439</v>
      </c>
    </row>
    <row r="47" customFormat="false" ht="15" hidden="false" customHeight="false" outlineLevel="0" collapsed="false">
      <c r="A47" s="2" t="s">
        <v>77</v>
      </c>
      <c r="B47" s="3" t="s">
        <v>11</v>
      </c>
      <c r="C47" s="2" t="s">
        <v>12</v>
      </c>
      <c r="D47" s="2" t="s">
        <v>107</v>
      </c>
      <c r="E47" s="3" t="s">
        <v>108</v>
      </c>
      <c r="F47" s="2" t="n">
        <v>2</v>
      </c>
      <c r="G47" s="2" t="s">
        <v>15</v>
      </c>
      <c r="H47" s="4" t="n">
        <v>16.9</v>
      </c>
      <c r="I47" s="4" t="n">
        <f aca="false">IF(F47="","",F47*H47)</f>
        <v>33.8</v>
      </c>
      <c r="J47" s="2" t="n">
        <v>30439</v>
      </c>
    </row>
    <row r="48" customFormat="false" ht="15" hidden="false" customHeight="false" outlineLevel="0" collapsed="false">
      <c r="A48" s="2" t="s">
        <v>77</v>
      </c>
      <c r="B48" s="3" t="s">
        <v>11</v>
      </c>
      <c r="C48" s="2" t="s">
        <v>12</v>
      </c>
      <c r="D48" s="2" t="s">
        <v>109</v>
      </c>
      <c r="E48" s="3" t="s">
        <v>110</v>
      </c>
      <c r="F48" s="2" t="n">
        <v>1</v>
      </c>
      <c r="G48" s="2" t="s">
        <v>45</v>
      </c>
      <c r="H48" s="4" t="n">
        <v>2.99</v>
      </c>
      <c r="I48" s="4" t="n">
        <f aca="false">IF(F48="","",F48*H48)</f>
        <v>2.99</v>
      </c>
      <c r="J48" s="2" t="n">
        <v>30439</v>
      </c>
    </row>
    <row r="49" customFormat="false" ht="15" hidden="false" customHeight="false" outlineLevel="0" collapsed="false">
      <c r="A49" s="2" t="s">
        <v>111</v>
      </c>
      <c r="B49" s="3" t="s">
        <v>11</v>
      </c>
      <c r="C49" s="2" t="s">
        <v>12</v>
      </c>
      <c r="D49" s="2" t="s">
        <v>112</v>
      </c>
      <c r="E49" s="3" t="s">
        <v>113</v>
      </c>
      <c r="F49" s="2" t="n">
        <v>1</v>
      </c>
      <c r="G49" s="2" t="s">
        <v>15</v>
      </c>
      <c r="H49" s="4" t="n">
        <v>23.9</v>
      </c>
      <c r="I49" s="4" t="n">
        <f aca="false">IF(F49="","",F49*H49)</f>
        <v>23.9</v>
      </c>
      <c r="J49" s="2" t="n">
        <v>34472</v>
      </c>
    </row>
    <row r="50" customFormat="false" ht="15" hidden="false" customHeight="false" outlineLevel="0" collapsed="false">
      <c r="A50" s="2" t="s">
        <v>111</v>
      </c>
      <c r="B50" s="3" t="s">
        <v>11</v>
      </c>
      <c r="C50" s="2" t="s">
        <v>12</v>
      </c>
      <c r="D50" s="2" t="s">
        <v>102</v>
      </c>
      <c r="E50" s="3" t="s">
        <v>103</v>
      </c>
      <c r="F50" s="2" t="n">
        <v>1</v>
      </c>
      <c r="G50" s="2" t="s">
        <v>15</v>
      </c>
      <c r="H50" s="4" t="n">
        <v>12.9</v>
      </c>
      <c r="I50" s="4" t="n">
        <f aca="false">IF(F50="","",F50*H50)</f>
        <v>12.9</v>
      </c>
      <c r="J50" s="2" t="n">
        <v>34472</v>
      </c>
    </row>
    <row r="51" customFormat="false" ht="15" hidden="false" customHeight="false" outlineLevel="0" collapsed="false">
      <c r="A51" s="2" t="s">
        <v>111</v>
      </c>
      <c r="B51" s="3" t="s">
        <v>11</v>
      </c>
      <c r="C51" s="2" t="s">
        <v>12</v>
      </c>
      <c r="D51" s="2" t="s">
        <v>114</v>
      </c>
      <c r="E51" s="3" t="s">
        <v>115</v>
      </c>
      <c r="F51" s="2" t="n">
        <v>1</v>
      </c>
      <c r="G51" s="2" t="s">
        <v>15</v>
      </c>
      <c r="H51" s="4" t="n">
        <v>5.09</v>
      </c>
      <c r="I51" s="4" t="n">
        <f aca="false">IF(F51="","",F51*H51)</f>
        <v>5.09</v>
      </c>
      <c r="J51" s="2" t="n">
        <v>34472</v>
      </c>
    </row>
    <row r="52" customFormat="false" ht="15" hidden="false" customHeight="false" outlineLevel="0" collapsed="false">
      <c r="A52" s="2" t="s">
        <v>111</v>
      </c>
      <c r="B52" s="3" t="s">
        <v>11</v>
      </c>
      <c r="C52" s="2" t="s">
        <v>12</v>
      </c>
      <c r="D52" s="2" t="s">
        <v>116</v>
      </c>
      <c r="E52" s="3" t="s">
        <v>117</v>
      </c>
      <c r="F52" s="2" t="n">
        <v>1</v>
      </c>
      <c r="G52" s="2" t="s">
        <v>15</v>
      </c>
      <c r="H52" s="4" t="n">
        <v>5.09</v>
      </c>
      <c r="I52" s="4" t="n">
        <f aca="false">IF(F52="","",F52*H52)</f>
        <v>5.09</v>
      </c>
      <c r="J52" s="2" t="n">
        <v>34472</v>
      </c>
    </row>
    <row r="53" customFormat="false" ht="15" hidden="false" customHeight="false" outlineLevel="0" collapsed="false">
      <c r="A53" s="2" t="s">
        <v>111</v>
      </c>
      <c r="B53" s="3" t="s">
        <v>11</v>
      </c>
      <c r="C53" s="2" t="s">
        <v>12</v>
      </c>
      <c r="D53" s="2" t="s">
        <v>118</v>
      </c>
      <c r="E53" s="3" t="s">
        <v>119</v>
      </c>
      <c r="F53" s="2" t="n">
        <v>1</v>
      </c>
      <c r="G53" s="2" t="s">
        <v>15</v>
      </c>
      <c r="H53" s="4" t="n">
        <v>10.49</v>
      </c>
      <c r="I53" s="4" t="n">
        <f aca="false">IF(F53="","",F53*H53)</f>
        <v>10.49</v>
      </c>
      <c r="J53" s="2" t="n">
        <v>34472</v>
      </c>
    </row>
    <row r="54" customFormat="false" ht="15" hidden="false" customHeight="false" outlineLevel="0" collapsed="false">
      <c r="A54" s="2" t="s">
        <v>111</v>
      </c>
      <c r="B54" s="3" t="s">
        <v>11</v>
      </c>
      <c r="C54" s="2" t="s">
        <v>12</v>
      </c>
      <c r="D54" s="2" t="s">
        <v>120</v>
      </c>
      <c r="E54" s="3" t="s">
        <v>121</v>
      </c>
      <c r="F54" s="2" t="n">
        <v>2</v>
      </c>
      <c r="G54" s="2" t="s">
        <v>15</v>
      </c>
      <c r="H54" s="4" t="n">
        <v>6.99</v>
      </c>
      <c r="I54" s="4" t="n">
        <f aca="false">IF(F54="","",F54*H54)</f>
        <v>13.98</v>
      </c>
      <c r="J54" s="2" t="n">
        <v>34472</v>
      </c>
    </row>
    <row r="55" customFormat="false" ht="15" hidden="false" customHeight="false" outlineLevel="0" collapsed="false">
      <c r="A55" s="2" t="s">
        <v>111</v>
      </c>
      <c r="B55" s="3" t="s">
        <v>11</v>
      </c>
      <c r="C55" s="2" t="s">
        <v>12</v>
      </c>
      <c r="D55" s="2" t="s">
        <v>122</v>
      </c>
      <c r="E55" s="3" t="s">
        <v>123</v>
      </c>
      <c r="F55" s="2" t="n">
        <v>1</v>
      </c>
      <c r="G55" s="2" t="s">
        <v>124</v>
      </c>
      <c r="H55" s="4" t="n">
        <v>8.97</v>
      </c>
      <c r="I55" s="4" t="n">
        <f aca="false">IF(F55="","",F55*H55)</f>
        <v>8.97</v>
      </c>
      <c r="J55" s="2" t="n">
        <v>34472</v>
      </c>
    </row>
    <row r="56" customFormat="false" ht="15" hidden="false" customHeight="false" outlineLevel="0" collapsed="false">
      <c r="A56" s="2" t="s">
        <v>111</v>
      </c>
      <c r="B56" s="3" t="s">
        <v>11</v>
      </c>
      <c r="C56" s="2" t="s">
        <v>12</v>
      </c>
      <c r="D56" s="2" t="s">
        <v>125</v>
      </c>
      <c r="E56" s="3" t="s">
        <v>126</v>
      </c>
      <c r="F56" s="2" t="n">
        <v>0.14</v>
      </c>
      <c r="G56" s="2" t="s">
        <v>54</v>
      </c>
      <c r="H56" s="4" t="n">
        <v>112</v>
      </c>
      <c r="I56" s="4" t="n">
        <f aca="false">IF(F56="","",F56*H56)</f>
        <v>15.68</v>
      </c>
      <c r="J56" s="2" t="n">
        <v>34472</v>
      </c>
    </row>
    <row r="57" customFormat="false" ht="15" hidden="false" customHeight="false" outlineLevel="0" collapsed="false">
      <c r="A57" s="2" t="s">
        <v>111</v>
      </c>
      <c r="B57" s="3" t="s">
        <v>11</v>
      </c>
      <c r="C57" s="2" t="s">
        <v>12</v>
      </c>
      <c r="D57" s="2" t="s">
        <v>127</v>
      </c>
      <c r="E57" s="3" t="s">
        <v>128</v>
      </c>
      <c r="F57" s="2" t="n">
        <v>1</v>
      </c>
      <c r="G57" s="2" t="s">
        <v>15</v>
      </c>
      <c r="H57" s="4" t="n">
        <v>9.98</v>
      </c>
      <c r="I57" s="4" t="n">
        <f aca="false">IF(F57="","",F57*H57)</f>
        <v>9.98</v>
      </c>
      <c r="J57" s="2" t="n">
        <v>34472</v>
      </c>
    </row>
    <row r="58" customFormat="false" ht="15" hidden="false" customHeight="false" outlineLevel="0" collapsed="false">
      <c r="A58" s="2" t="s">
        <v>111</v>
      </c>
      <c r="B58" s="3" t="s">
        <v>11</v>
      </c>
      <c r="C58" s="2" t="s">
        <v>12</v>
      </c>
      <c r="D58" s="2" t="s">
        <v>129</v>
      </c>
      <c r="E58" s="3" t="s">
        <v>130</v>
      </c>
      <c r="F58" s="2" t="n">
        <v>1</v>
      </c>
      <c r="G58" s="2" t="s">
        <v>32</v>
      </c>
      <c r="H58" s="4" t="n">
        <v>9.9</v>
      </c>
      <c r="I58" s="4" t="n">
        <f aca="false">IF(F58="","",F58*H58)</f>
        <v>9.9</v>
      </c>
      <c r="J58" s="2" t="n">
        <v>34472</v>
      </c>
    </row>
    <row r="59" customFormat="false" ht="15" hidden="false" customHeight="false" outlineLevel="0" collapsed="false">
      <c r="A59" s="2" t="s">
        <v>111</v>
      </c>
      <c r="B59" s="3" t="s">
        <v>11</v>
      </c>
      <c r="C59" s="2" t="s">
        <v>12</v>
      </c>
      <c r="D59" s="2" t="s">
        <v>131</v>
      </c>
      <c r="E59" s="3" t="s">
        <v>132</v>
      </c>
      <c r="F59" s="2" t="n">
        <v>1</v>
      </c>
      <c r="G59" s="2" t="s">
        <v>45</v>
      </c>
      <c r="H59" s="4" t="n">
        <v>7</v>
      </c>
      <c r="I59" s="4" t="n">
        <f aca="false">IF(F59="","",F59*H59)</f>
        <v>7</v>
      </c>
      <c r="J59" s="2" t="n">
        <v>34472</v>
      </c>
    </row>
    <row r="60" customFormat="false" ht="15" hidden="false" customHeight="false" outlineLevel="0" collapsed="false">
      <c r="A60" s="2" t="s">
        <v>111</v>
      </c>
      <c r="B60" s="3" t="s">
        <v>11</v>
      </c>
      <c r="C60" s="2" t="s">
        <v>12</v>
      </c>
      <c r="D60" s="2" t="s">
        <v>94</v>
      </c>
      <c r="E60" s="3" t="s">
        <v>95</v>
      </c>
      <c r="F60" s="2" t="n">
        <v>2</v>
      </c>
      <c r="G60" s="2" t="s">
        <v>32</v>
      </c>
      <c r="H60" s="4" t="n">
        <v>8.99</v>
      </c>
      <c r="I60" s="4" t="n">
        <f aca="false">IF(F60="","",F60*H60)</f>
        <v>17.98</v>
      </c>
      <c r="J60" s="2" t="n">
        <v>34472</v>
      </c>
    </row>
    <row r="61" customFormat="false" ht="15" hidden="false" customHeight="false" outlineLevel="0" collapsed="false">
      <c r="A61" s="2" t="s">
        <v>111</v>
      </c>
      <c r="B61" s="3" t="s">
        <v>11</v>
      </c>
      <c r="C61" s="2" t="s">
        <v>12</v>
      </c>
      <c r="D61" s="2" t="s">
        <v>133</v>
      </c>
      <c r="E61" s="3" t="s">
        <v>134</v>
      </c>
      <c r="F61" s="2" t="n">
        <v>0.22</v>
      </c>
      <c r="G61" s="2" t="s">
        <v>54</v>
      </c>
      <c r="H61" s="4" t="n">
        <v>62.9</v>
      </c>
      <c r="I61" s="4" t="n">
        <f aca="false">IF(F61="","",F61*H61)</f>
        <v>13.838</v>
      </c>
      <c r="J61" s="2" t="n">
        <v>34472</v>
      </c>
    </row>
    <row r="62" customFormat="false" ht="15" hidden="false" customHeight="false" outlineLevel="0" collapsed="false">
      <c r="A62" s="2" t="s">
        <v>111</v>
      </c>
      <c r="B62" s="3" t="s">
        <v>11</v>
      </c>
      <c r="C62" s="2" t="s">
        <v>12</v>
      </c>
      <c r="D62" s="2" t="s">
        <v>135</v>
      </c>
      <c r="E62" s="3" t="s">
        <v>136</v>
      </c>
      <c r="F62" s="2" t="n">
        <v>0.236</v>
      </c>
      <c r="G62" s="2" t="s">
        <v>54</v>
      </c>
      <c r="H62" s="4" t="n">
        <v>56.9</v>
      </c>
      <c r="I62" s="4" t="n">
        <f aca="false">IF(F62="","",F62*H62)</f>
        <v>13.4284</v>
      </c>
      <c r="J62" s="2" t="n">
        <v>34472</v>
      </c>
    </row>
    <row r="63" customFormat="false" ht="15" hidden="false" customHeight="false" outlineLevel="0" collapsed="false">
      <c r="A63" s="2" t="s">
        <v>111</v>
      </c>
      <c r="B63" s="3" t="s">
        <v>11</v>
      </c>
      <c r="C63" s="2" t="s">
        <v>12</v>
      </c>
      <c r="D63" s="2" t="s">
        <v>137</v>
      </c>
      <c r="E63" s="3" t="s">
        <v>138</v>
      </c>
      <c r="F63" s="2" t="n">
        <v>1</v>
      </c>
      <c r="G63" s="2" t="s">
        <v>15</v>
      </c>
      <c r="H63" s="4" t="n">
        <v>13.85</v>
      </c>
      <c r="I63" s="4" t="n">
        <f aca="false">IF(F63="","",F63*H63)</f>
        <v>13.85</v>
      </c>
      <c r="J63" s="2" t="n">
        <v>34472</v>
      </c>
    </row>
    <row r="64" customFormat="false" ht="15" hidden="false" customHeight="false" outlineLevel="0" collapsed="false">
      <c r="A64" s="2" t="s">
        <v>111</v>
      </c>
      <c r="B64" s="3" t="s">
        <v>11</v>
      </c>
      <c r="C64" s="2" t="s">
        <v>12</v>
      </c>
      <c r="D64" s="2" t="s">
        <v>96</v>
      </c>
      <c r="E64" s="3" t="s">
        <v>97</v>
      </c>
      <c r="F64" s="2" t="n">
        <v>1</v>
      </c>
      <c r="G64" s="2" t="s">
        <v>15</v>
      </c>
      <c r="H64" s="4" t="n">
        <v>12.99</v>
      </c>
      <c r="I64" s="4" t="n">
        <f aca="false">IF(F64="","",F64*H64)</f>
        <v>12.99</v>
      </c>
      <c r="J64" s="2" t="n">
        <v>34472</v>
      </c>
    </row>
    <row r="65" customFormat="false" ht="15" hidden="false" customHeight="false" outlineLevel="0" collapsed="false">
      <c r="A65" s="2" t="s">
        <v>111</v>
      </c>
      <c r="B65" s="3" t="s">
        <v>11</v>
      </c>
      <c r="C65" s="2" t="s">
        <v>12</v>
      </c>
      <c r="D65" s="2" t="s">
        <v>92</v>
      </c>
      <c r="E65" s="3" t="s">
        <v>93</v>
      </c>
      <c r="F65" s="2" t="n">
        <v>1</v>
      </c>
      <c r="G65" s="2" t="s">
        <v>32</v>
      </c>
      <c r="H65" s="4" t="n">
        <v>12.99</v>
      </c>
      <c r="I65" s="4" t="n">
        <f aca="false">IF(F65="","",F65*H65)</f>
        <v>12.99</v>
      </c>
      <c r="J65" s="2" t="n">
        <v>34472</v>
      </c>
    </row>
    <row r="66" customFormat="false" ht="15" hidden="false" customHeight="false" outlineLevel="0" collapsed="false">
      <c r="A66" s="2" t="s">
        <v>111</v>
      </c>
      <c r="B66" s="3" t="s">
        <v>11</v>
      </c>
      <c r="C66" s="2" t="s">
        <v>12</v>
      </c>
      <c r="D66" s="2" t="s">
        <v>139</v>
      </c>
      <c r="E66" s="3" t="s">
        <v>140</v>
      </c>
      <c r="F66" s="2" t="n">
        <v>1</v>
      </c>
      <c r="G66" s="2" t="s">
        <v>15</v>
      </c>
      <c r="H66" s="4" t="n">
        <v>10.9</v>
      </c>
      <c r="I66" s="4" t="n">
        <f aca="false">IF(F66="","",F66*H66)</f>
        <v>10.9</v>
      </c>
      <c r="J66" s="2" t="n">
        <v>34472</v>
      </c>
    </row>
    <row r="67" customFormat="false" ht="15" hidden="false" customHeight="false" outlineLevel="0" collapsed="false">
      <c r="A67" s="2" t="s">
        <v>111</v>
      </c>
      <c r="B67" s="3" t="s">
        <v>11</v>
      </c>
      <c r="C67" s="2" t="s">
        <v>12</v>
      </c>
      <c r="D67" s="2" t="s">
        <v>141</v>
      </c>
      <c r="E67" s="3" t="s">
        <v>142</v>
      </c>
      <c r="F67" s="2" t="n">
        <v>1</v>
      </c>
      <c r="G67" s="2" t="s">
        <v>15</v>
      </c>
      <c r="H67" s="4" t="n">
        <v>4.99</v>
      </c>
      <c r="I67" s="4" t="n">
        <f aca="false">IF(F67="","",F67*H67)</f>
        <v>4.99</v>
      </c>
      <c r="J67" s="2" t="n">
        <v>34472</v>
      </c>
    </row>
    <row r="68" customFormat="false" ht="15" hidden="false" customHeight="false" outlineLevel="0" collapsed="false">
      <c r="A68" s="2" t="s">
        <v>111</v>
      </c>
      <c r="B68" s="3" t="s">
        <v>11</v>
      </c>
      <c r="C68" s="2" t="s">
        <v>12</v>
      </c>
      <c r="D68" s="2" t="s">
        <v>143</v>
      </c>
      <c r="E68" s="3" t="s">
        <v>142</v>
      </c>
      <c r="F68" s="2" t="n">
        <v>1</v>
      </c>
      <c r="G68" s="2" t="s">
        <v>15</v>
      </c>
      <c r="H68" s="4" t="n">
        <v>4.99</v>
      </c>
      <c r="I68" s="4" t="n">
        <f aca="false">IF(F68="","",F68*H68)</f>
        <v>4.99</v>
      </c>
      <c r="J68" s="2" t="n">
        <v>34472</v>
      </c>
    </row>
    <row r="69" customFormat="false" ht="15" hidden="false" customHeight="false" outlineLevel="0" collapsed="false">
      <c r="A69" s="2" t="s">
        <v>111</v>
      </c>
      <c r="B69" s="3" t="s">
        <v>11</v>
      </c>
      <c r="C69" s="2" t="s">
        <v>12</v>
      </c>
      <c r="D69" s="2" t="s">
        <v>144</v>
      </c>
      <c r="E69" s="3" t="s">
        <v>145</v>
      </c>
      <c r="F69" s="2" t="n">
        <v>0.92</v>
      </c>
      <c r="G69" s="2" t="s">
        <v>54</v>
      </c>
      <c r="H69" s="4" t="n">
        <v>9.9</v>
      </c>
      <c r="I69" s="4" t="n">
        <f aca="false">IF(F69="","",F69*H69)</f>
        <v>9.108</v>
      </c>
      <c r="J69" s="2" t="n">
        <v>34472</v>
      </c>
    </row>
    <row r="70" customFormat="false" ht="15" hidden="false" customHeight="false" outlineLevel="0" collapsed="false">
      <c r="A70" s="2" t="s">
        <v>111</v>
      </c>
      <c r="B70" s="3" t="s">
        <v>11</v>
      </c>
      <c r="C70" s="2" t="s">
        <v>12</v>
      </c>
      <c r="D70" s="2" t="s">
        <v>146</v>
      </c>
      <c r="E70" s="3" t="s">
        <v>147</v>
      </c>
      <c r="F70" s="2" t="n">
        <v>1.25</v>
      </c>
      <c r="G70" s="2" t="s">
        <v>54</v>
      </c>
      <c r="H70" s="4" t="n">
        <v>6.99</v>
      </c>
      <c r="I70" s="4" t="n">
        <f aca="false">IF(F70="","",F70*H70)</f>
        <v>8.7375</v>
      </c>
      <c r="J70" s="2" t="n">
        <v>34472</v>
      </c>
    </row>
    <row r="71" customFormat="false" ht="15" hidden="false" customHeight="false" outlineLevel="0" collapsed="false">
      <c r="A71" s="2" t="s">
        <v>111</v>
      </c>
      <c r="B71" s="3" t="s">
        <v>11</v>
      </c>
      <c r="C71" s="2" t="s">
        <v>12</v>
      </c>
      <c r="D71" s="2" t="s">
        <v>28</v>
      </c>
      <c r="E71" s="3" t="s">
        <v>29</v>
      </c>
      <c r="F71" s="2" t="n">
        <v>3</v>
      </c>
      <c r="G71" s="2" t="s">
        <v>15</v>
      </c>
      <c r="H71" s="4" t="n">
        <v>3.79</v>
      </c>
      <c r="I71" s="4" t="n">
        <f aca="false">IF(F71="","",F71*H71)</f>
        <v>11.37</v>
      </c>
      <c r="J71" s="2" t="n">
        <v>34472</v>
      </c>
    </row>
    <row r="72" customFormat="false" ht="15" hidden="false" customHeight="false" outlineLevel="0" collapsed="false">
      <c r="A72" s="2" t="s">
        <v>111</v>
      </c>
      <c r="B72" s="3" t="s">
        <v>11</v>
      </c>
      <c r="C72" s="2" t="s">
        <v>12</v>
      </c>
      <c r="D72" s="2" t="s">
        <v>148</v>
      </c>
      <c r="E72" s="3" t="s">
        <v>149</v>
      </c>
      <c r="F72" s="2" t="n">
        <v>1</v>
      </c>
      <c r="G72" s="2" t="s">
        <v>15</v>
      </c>
      <c r="H72" s="4" t="n">
        <v>9.39</v>
      </c>
      <c r="I72" s="4" t="n">
        <f aca="false">IF(F72="","",F72*H72)</f>
        <v>9.39</v>
      </c>
      <c r="J72" s="2" t="n">
        <v>34472</v>
      </c>
    </row>
  </sheetData>
  <autoFilter ref="A1:J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39.55" hidden="false" customHeight="false" outlineLevel="0" collapsed="false">
      <c r="A1" s="1" t="s">
        <v>4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</row>
    <row r="2" customFormat="false" ht="15" hidden="false" customHeight="false" outlineLevel="0" collapsed="false">
      <c r="A2" s="3" t="s">
        <v>47</v>
      </c>
      <c r="B2" s="4" t="n">
        <f aca="false" t="array" ref="B2:B2">MIN(IF(Dados!$E$2:$E$501=$A2,Dados!$H$2:$H$501))</f>
        <v>19.9</v>
      </c>
      <c r="C2" s="4" t="n">
        <f aca="false" t="array" ref="C2:C2">MAX(IF(Dados!$E$2:$E$501=$A2,Dados!$H$2:$H$501))</f>
        <v>19.9</v>
      </c>
      <c r="D2" s="4" t="n">
        <f aca="false" t="array" ref="D2:D2">AVERAGE(IF(Dados!$E$2:$E$501=$A2,Dados!$H$2:$H$501))</f>
        <v>19.9</v>
      </c>
      <c r="E2" s="4" t="n">
        <f aca="false">C2-B2</f>
        <v>0</v>
      </c>
      <c r="F2" s="5" t="n">
        <f aca="false">IF(B2=0,0,(C2-B2)/B2)</f>
        <v>0</v>
      </c>
      <c r="G2" s="2" t="n">
        <f aca="false">COUNTIF(Dados!$E$2:$E$501,$A2)</f>
        <v>1</v>
      </c>
    </row>
    <row r="3" customFormat="false" ht="15" hidden="false" customHeight="false" outlineLevel="0" collapsed="false">
      <c r="A3" s="3" t="s">
        <v>147</v>
      </c>
      <c r="B3" s="4" t="n">
        <f aca="false" t="array" ref="B3:B3">MIN(IF(Dados!$E$2:$E$501=$A3,Dados!$H$2:$H$501))</f>
        <v>6.99</v>
      </c>
      <c r="C3" s="4" t="n">
        <f aca="false" t="array" ref="C3:C3">MAX(IF(Dados!$E$2:$E$501=$A3,Dados!$H$2:$H$501))</f>
        <v>6.99</v>
      </c>
      <c r="D3" s="4" t="n">
        <f aca="false" t="array" ref="D3:D3">AVERAGE(IF(Dados!$E$2:$E$501=$A3,Dados!$H$2:$H$501))</f>
        <v>6.99</v>
      </c>
      <c r="E3" s="4" t="n">
        <f aca="false">C3-B3</f>
        <v>0</v>
      </c>
      <c r="F3" s="5" t="n">
        <f aca="false">IF(B3=0,0,(C3-B3)/B3)</f>
        <v>0</v>
      </c>
      <c r="G3" s="2" t="n">
        <f aca="false">COUNTIF(Dados!$E$2:$E$501,$A3)</f>
        <v>1</v>
      </c>
    </row>
    <row r="4" customFormat="false" ht="15" hidden="false" customHeight="false" outlineLevel="0" collapsed="false">
      <c r="A4" s="3" t="s">
        <v>145</v>
      </c>
      <c r="B4" s="4" t="n">
        <f aca="false" t="array" ref="B4:B4">MIN(IF(Dados!$E$2:$E$501=$A4,Dados!$H$2:$H$501))</f>
        <v>9.9</v>
      </c>
      <c r="C4" s="4" t="n">
        <f aca="false" t="array" ref="C4:C4">MAX(IF(Dados!$E$2:$E$501=$A4,Dados!$H$2:$H$501))</f>
        <v>9.9</v>
      </c>
      <c r="D4" s="4" t="n">
        <f aca="false" t="array" ref="D4:D4">AVERAGE(IF(Dados!$E$2:$E$501=$A4,Dados!$H$2:$H$501))</f>
        <v>9.9</v>
      </c>
      <c r="E4" s="4" t="n">
        <f aca="false">C4-B4</f>
        <v>0</v>
      </c>
      <c r="F4" s="5" t="n">
        <f aca="false">IF(B4=0,0,(C4-B4)/B4)</f>
        <v>0</v>
      </c>
      <c r="G4" s="2" t="n">
        <f aca="false">COUNTIF(Dados!$E$2:$E$501,$A4)</f>
        <v>1</v>
      </c>
    </row>
    <row r="5" customFormat="false" ht="15" hidden="false" customHeight="false" outlineLevel="0" collapsed="false">
      <c r="A5" s="3" t="s">
        <v>113</v>
      </c>
      <c r="B5" s="4" t="n">
        <f aca="false" t="array" ref="B5:B5">MIN(IF(Dados!$E$2:$E$501=$A5,Dados!$H$2:$H$501))</f>
        <v>23.9</v>
      </c>
      <c r="C5" s="4" t="n">
        <f aca="false" t="array" ref="C5:C5">MAX(IF(Dados!$E$2:$E$501=$A5,Dados!$H$2:$H$501))</f>
        <v>23.9</v>
      </c>
      <c r="D5" s="4" t="n">
        <f aca="false" t="array" ref="D5:D5">AVERAGE(IF(Dados!$E$2:$E$501=$A5,Dados!$H$2:$H$501))</f>
        <v>23.9</v>
      </c>
      <c r="E5" s="4" t="n">
        <f aca="false">C5-B5</f>
        <v>0</v>
      </c>
      <c r="F5" s="5" t="n">
        <f aca="false">IF(B5=0,0,(C5-B5)/B5)</f>
        <v>0</v>
      </c>
      <c r="G5" s="2" t="n">
        <f aca="false">COUNTIF(Dados!$E$2:$E$501,$A5)</f>
        <v>1</v>
      </c>
    </row>
    <row r="6" customFormat="false" ht="15" hidden="false" customHeight="false" outlineLevel="0" collapsed="false">
      <c r="A6" s="3" t="s">
        <v>66</v>
      </c>
      <c r="B6" s="4" t="n">
        <f aca="false" t="array" ref="B6:B6">MIN(IF(Dados!$E$2:$E$501=$A6,Dados!$H$2:$H$501))</f>
        <v>26.5</v>
      </c>
      <c r="C6" s="4" t="n">
        <f aca="false" t="array" ref="C6:C6">MAX(IF(Dados!$E$2:$E$501=$A6,Dados!$H$2:$H$501))</f>
        <v>26.5</v>
      </c>
      <c r="D6" s="4" t="n">
        <f aca="false" t="array" ref="D6:D6">AVERAGE(IF(Dados!$E$2:$E$501=$A6,Dados!$H$2:$H$501))</f>
        <v>26.5</v>
      </c>
      <c r="E6" s="4" t="n">
        <f aca="false">C6-B6</f>
        <v>0</v>
      </c>
      <c r="F6" s="5" t="n">
        <f aca="false">IF(B6=0,0,(C6-B6)/B6)</f>
        <v>0</v>
      </c>
      <c r="G6" s="2" t="n">
        <f aca="false">COUNTIF(Dados!$E$2:$E$501,$A6)</f>
        <v>1</v>
      </c>
    </row>
    <row r="7" customFormat="false" ht="15" hidden="false" customHeight="false" outlineLevel="0" collapsed="false">
      <c r="A7" s="3" t="s">
        <v>38</v>
      </c>
      <c r="B7" s="4" t="n">
        <f aca="false" t="array" ref="B7:B7">MIN(IF(Dados!$E$2:$E$501=$A7,Dados!$H$2:$H$501))</f>
        <v>3.25</v>
      </c>
      <c r="C7" s="4" t="n">
        <f aca="false" t="array" ref="C7:C7">MAX(IF(Dados!$E$2:$E$501=$A7,Dados!$H$2:$H$501))</f>
        <v>3.25</v>
      </c>
      <c r="D7" s="4" t="n">
        <f aca="false" t="array" ref="D7:D7">AVERAGE(IF(Dados!$E$2:$E$501=$A7,Dados!$H$2:$H$501))</f>
        <v>3.25</v>
      </c>
      <c r="E7" s="4" t="n">
        <f aca="false">C7-B7</f>
        <v>0</v>
      </c>
      <c r="F7" s="5" t="n">
        <f aca="false">IF(B7=0,0,(C7-B7)/B7)</f>
        <v>0</v>
      </c>
      <c r="G7" s="2" t="n">
        <f aca="false">COUNTIF(Dados!$E$2:$E$501,$A7)</f>
        <v>1</v>
      </c>
    </row>
    <row r="8" customFormat="false" ht="15" hidden="false" customHeight="false" outlineLevel="0" collapsed="false">
      <c r="A8" s="3" t="s">
        <v>101</v>
      </c>
      <c r="B8" s="4" t="n">
        <f aca="false" t="array" ref="B8:B8">MIN(IF(Dados!$E$2:$E$501=$A8,Dados!$H$2:$H$501))</f>
        <v>37.9</v>
      </c>
      <c r="C8" s="4" t="n">
        <f aca="false" t="array" ref="C8:C8">MAX(IF(Dados!$E$2:$E$501=$A8,Dados!$H$2:$H$501))</f>
        <v>37.9</v>
      </c>
      <c r="D8" s="4" t="n">
        <f aca="false" t="array" ref="D8:D8">AVERAGE(IF(Dados!$E$2:$E$501=$A8,Dados!$H$2:$H$501))</f>
        <v>37.9</v>
      </c>
      <c r="E8" s="4" t="n">
        <f aca="false">C8-B8</f>
        <v>0</v>
      </c>
      <c r="F8" s="5" t="n">
        <f aca="false">IF(B8=0,0,(C8-B8)/B8)</f>
        <v>0</v>
      </c>
      <c r="G8" s="2" t="n">
        <f aca="false">COUNTIF(Dados!$E$2:$E$501,$A8)</f>
        <v>1</v>
      </c>
    </row>
    <row r="9" customFormat="false" ht="15" hidden="false" customHeight="false" outlineLevel="0" collapsed="false">
      <c r="A9" s="3" t="s">
        <v>25</v>
      </c>
      <c r="B9" s="4" t="n">
        <f aca="false" t="array" ref="B9:B9">MIN(IF(Dados!$E$2:$E$501=$A9,Dados!$H$2:$H$501))</f>
        <v>2.19</v>
      </c>
      <c r="C9" s="4" t="n">
        <f aca="false" t="array" ref="C9:C9">MAX(IF(Dados!$E$2:$E$501=$A9,Dados!$H$2:$H$501))</f>
        <v>2.19</v>
      </c>
      <c r="D9" s="4" t="n">
        <f aca="false" t="array" ref="D9:D9">AVERAGE(IF(Dados!$E$2:$E$501=$A9,Dados!$H$2:$H$501))</f>
        <v>2.19</v>
      </c>
      <c r="E9" s="4" t="n">
        <f aca="false">C9-B9</f>
        <v>0</v>
      </c>
      <c r="F9" s="5" t="n">
        <f aca="false">IF(B9=0,0,(C9-B9)/B9)</f>
        <v>0</v>
      </c>
      <c r="G9" s="2" t="n">
        <f aca="false">COUNTIF(Dados!$E$2:$E$501,$A9)</f>
        <v>1</v>
      </c>
    </row>
    <row r="10" customFormat="false" ht="15" hidden="false" customHeight="false" outlineLevel="0" collapsed="false">
      <c r="A10" s="3" t="s">
        <v>64</v>
      </c>
      <c r="B10" s="4" t="n">
        <f aca="false" t="array" ref="B10:B10">MIN(IF(Dados!$E$2:$E$501=$A10,Dados!$H$2:$H$501))</f>
        <v>24.9</v>
      </c>
      <c r="C10" s="4" t="n">
        <f aca="false" t="array" ref="C10:C10">MAX(IF(Dados!$E$2:$E$501=$A10,Dados!$H$2:$H$501))</f>
        <v>24.9</v>
      </c>
      <c r="D10" s="4" t="n">
        <f aca="false" t="array" ref="D10:D10">AVERAGE(IF(Dados!$E$2:$E$501=$A10,Dados!$H$2:$H$501))</f>
        <v>24.9</v>
      </c>
      <c r="E10" s="4" t="n">
        <f aca="false">C10-B10</f>
        <v>0</v>
      </c>
      <c r="F10" s="5" t="n">
        <f aca="false">IF(B10=0,0,(C10-B10)/B10)</f>
        <v>0</v>
      </c>
      <c r="G10" s="2" t="n">
        <f aca="false">COUNTIF(Dados!$E$2:$E$501,$A10)</f>
        <v>1</v>
      </c>
    </row>
    <row r="11" customFormat="false" ht="15" hidden="false" customHeight="false" outlineLevel="0" collapsed="false">
      <c r="A11" s="3" t="s">
        <v>53</v>
      </c>
      <c r="B11" s="4" t="n">
        <f aca="false" t="array" ref="B11:B11">MIN(IF(Dados!$E$2:$E$501=$A11,Dados!$H$2:$H$501))</f>
        <v>3.29</v>
      </c>
      <c r="C11" s="4" t="n">
        <f aca="false" t="array" ref="C11:C11">MAX(IF(Dados!$E$2:$E$501=$A11,Dados!$H$2:$H$501))</f>
        <v>3.29</v>
      </c>
      <c r="D11" s="4" t="n">
        <f aca="false" t="array" ref="D11:D11">AVERAGE(IF(Dados!$E$2:$E$501=$A11,Dados!$H$2:$H$501))</f>
        <v>3.29</v>
      </c>
      <c r="E11" s="4" t="n">
        <f aca="false">C11-B11</f>
        <v>0</v>
      </c>
      <c r="F11" s="5" t="n">
        <f aca="false">IF(B11=0,0,(C11-B11)/B11)</f>
        <v>0</v>
      </c>
      <c r="G11" s="2" t="n">
        <f aca="false">COUNTIF(Dados!$E$2:$E$501,$A11)</f>
        <v>1</v>
      </c>
    </row>
    <row r="12" customFormat="false" ht="15" hidden="false" customHeight="false" outlineLevel="0" collapsed="false">
      <c r="A12" s="3" t="s">
        <v>149</v>
      </c>
      <c r="B12" s="4" t="n">
        <f aca="false" t="array" ref="B12:B12">MIN(IF(Dados!$E$2:$E$501=$A12,Dados!$H$2:$H$501))</f>
        <v>9.39</v>
      </c>
      <c r="C12" s="4" t="n">
        <f aca="false" t="array" ref="C12:C12">MAX(IF(Dados!$E$2:$E$501=$A12,Dados!$H$2:$H$501))</f>
        <v>9.39</v>
      </c>
      <c r="D12" s="4" t="n">
        <f aca="false" t="array" ref="D12:D12">AVERAGE(IF(Dados!$E$2:$E$501=$A12,Dados!$H$2:$H$501))</f>
        <v>9.39</v>
      </c>
      <c r="E12" s="4" t="n">
        <f aca="false">C12-B12</f>
        <v>0</v>
      </c>
      <c r="F12" s="5" t="n">
        <f aca="false">IF(B12=0,0,(C12-B12)/B12)</f>
        <v>0</v>
      </c>
      <c r="G12" s="2" t="n">
        <f aca="false">COUNTIF(Dados!$E$2:$E$501,$A12)</f>
        <v>1</v>
      </c>
    </row>
    <row r="13" customFormat="false" ht="15" hidden="false" customHeight="false" outlineLevel="0" collapsed="false">
      <c r="A13" s="3" t="s">
        <v>87</v>
      </c>
      <c r="B13" s="4" t="n">
        <f aca="false" t="array" ref="B13:B13">MIN(IF(Dados!$E$2:$E$501=$A13,Dados!$H$2:$H$501))</f>
        <v>7.58</v>
      </c>
      <c r="C13" s="4" t="n">
        <f aca="false" t="array" ref="C13:C13">MAX(IF(Dados!$E$2:$E$501=$A13,Dados!$H$2:$H$501))</f>
        <v>7.58</v>
      </c>
      <c r="D13" s="4" t="n">
        <f aca="false" t="array" ref="D13:D13">AVERAGE(IF(Dados!$E$2:$E$501=$A13,Dados!$H$2:$H$501))</f>
        <v>7.58</v>
      </c>
      <c r="E13" s="4" t="n">
        <f aca="false">C13-B13</f>
        <v>0</v>
      </c>
      <c r="F13" s="5" t="n">
        <f aca="false">IF(B13=0,0,(C13-B13)/B13)</f>
        <v>0</v>
      </c>
      <c r="G13" s="2" t="n">
        <f aca="false">COUNTIF(Dados!$E$2:$E$501,$A13)</f>
        <v>1</v>
      </c>
    </row>
    <row r="14" customFormat="false" ht="15" hidden="false" customHeight="false" outlineLevel="0" collapsed="false">
      <c r="A14" s="3" t="s">
        <v>85</v>
      </c>
      <c r="B14" s="4" t="n">
        <f aca="false" t="array" ref="B14:B14">MIN(IF(Dados!$E$2:$E$501=$A14,Dados!$H$2:$H$501))</f>
        <v>7.48</v>
      </c>
      <c r="C14" s="4" t="n">
        <f aca="false" t="array" ref="C14:C14">MAX(IF(Dados!$E$2:$E$501=$A14,Dados!$H$2:$H$501))</f>
        <v>7.48</v>
      </c>
      <c r="D14" s="4" t="n">
        <f aca="false" t="array" ref="D14:D14">AVERAGE(IF(Dados!$E$2:$E$501=$A14,Dados!$H$2:$H$501))</f>
        <v>7.48</v>
      </c>
      <c r="E14" s="4" t="n">
        <f aca="false">C14-B14</f>
        <v>0</v>
      </c>
      <c r="F14" s="5" t="n">
        <f aca="false">IF(B14=0,0,(C14-B14)/B14)</f>
        <v>0</v>
      </c>
      <c r="G14" s="2" t="n">
        <f aca="false">COUNTIF(Dados!$E$2:$E$501,$A14)</f>
        <v>1</v>
      </c>
    </row>
    <row r="15" customFormat="false" ht="15" hidden="false" customHeight="false" outlineLevel="0" collapsed="false">
      <c r="A15" s="3" t="s">
        <v>89</v>
      </c>
      <c r="B15" s="4" t="n">
        <f aca="false" t="array" ref="B15:B15">MIN(IF(Dados!$E$2:$E$501=$A15,Dados!$H$2:$H$501))</f>
        <v>3.28</v>
      </c>
      <c r="C15" s="4" t="n">
        <f aca="false" t="array" ref="C15:C15">MAX(IF(Dados!$E$2:$E$501=$A15,Dados!$H$2:$H$501))</f>
        <v>3.28</v>
      </c>
      <c r="D15" s="4" t="n">
        <f aca="false" t="array" ref="D15:D15">AVERAGE(IF(Dados!$E$2:$E$501=$A15,Dados!$H$2:$H$501))</f>
        <v>3.28</v>
      </c>
      <c r="E15" s="4" t="n">
        <f aca="false">C15-B15</f>
        <v>0</v>
      </c>
      <c r="F15" s="5" t="n">
        <f aca="false">IF(B15=0,0,(C15-B15)/B15)</f>
        <v>0</v>
      </c>
      <c r="G15" s="2" t="n">
        <f aca="false">COUNTIF(Dados!$E$2:$E$501,$A15)</f>
        <v>1</v>
      </c>
    </row>
    <row r="16" customFormat="false" ht="15" hidden="false" customHeight="false" outlineLevel="0" collapsed="false">
      <c r="A16" s="3" t="s">
        <v>91</v>
      </c>
      <c r="B16" s="4" t="n">
        <f aca="false" t="array" ref="B16:B16">MIN(IF(Dados!$E$2:$E$501=$A16,Dados!$H$2:$H$501))</f>
        <v>10.98</v>
      </c>
      <c r="C16" s="4" t="n">
        <f aca="false" t="array" ref="C16:C16">MAX(IF(Dados!$E$2:$E$501=$A16,Dados!$H$2:$H$501))</f>
        <v>10.98</v>
      </c>
      <c r="D16" s="4" t="n">
        <f aca="false" t="array" ref="D16:D16">AVERAGE(IF(Dados!$E$2:$E$501=$A16,Dados!$H$2:$H$501))</f>
        <v>10.98</v>
      </c>
      <c r="E16" s="4" t="n">
        <f aca="false">C16-B16</f>
        <v>0</v>
      </c>
      <c r="F16" s="5" t="n">
        <f aca="false">IF(B16=0,0,(C16-B16)/B16)</f>
        <v>0</v>
      </c>
      <c r="G16" s="2" t="n">
        <f aca="false">COUNTIF(Dados!$E$2:$E$501,$A16)</f>
        <v>1</v>
      </c>
    </row>
    <row r="17" customFormat="false" ht="15" hidden="false" customHeight="false" outlineLevel="0" collapsed="false">
      <c r="A17" s="3" t="s">
        <v>110</v>
      </c>
      <c r="B17" s="4" t="n">
        <f aca="false" t="array" ref="B17:B17">MIN(IF(Dados!$E$2:$E$501=$A17,Dados!$H$2:$H$501))</f>
        <v>2.99</v>
      </c>
      <c r="C17" s="4" t="n">
        <f aca="false" t="array" ref="C17:C17">MAX(IF(Dados!$E$2:$E$501=$A17,Dados!$H$2:$H$501))</f>
        <v>2.99</v>
      </c>
      <c r="D17" s="4" t="n">
        <f aca="false" t="array" ref="D17:D17">AVERAGE(IF(Dados!$E$2:$E$501=$A17,Dados!$H$2:$H$501))</f>
        <v>2.99</v>
      </c>
      <c r="E17" s="4" t="n">
        <f aca="false">C17-B17</f>
        <v>0</v>
      </c>
      <c r="F17" s="5" t="n">
        <f aca="false">IF(B17=0,0,(C17-B17)/B17)</f>
        <v>0</v>
      </c>
      <c r="G17" s="2" t="n">
        <f aca="false">COUNTIF(Dados!$E$2:$E$501,$A17)</f>
        <v>1</v>
      </c>
    </row>
    <row r="18" customFormat="false" ht="15" hidden="false" customHeight="false" outlineLevel="0" collapsed="false">
      <c r="A18" s="3" t="s">
        <v>34</v>
      </c>
      <c r="B18" s="4" t="n">
        <f aca="false" t="array" ref="B18:B18">MIN(IF(Dados!$E$2:$E$501=$A18,Dados!$H$2:$H$501))</f>
        <v>4.79</v>
      </c>
      <c r="C18" s="4" t="n">
        <f aca="false" t="array" ref="C18:C18">MAX(IF(Dados!$E$2:$E$501=$A18,Dados!$H$2:$H$501))</f>
        <v>4.79</v>
      </c>
      <c r="D18" s="4" t="n">
        <f aca="false" t="array" ref="D18:D18">AVERAGE(IF(Dados!$E$2:$E$501=$A18,Dados!$H$2:$H$501))</f>
        <v>4.79</v>
      </c>
      <c r="E18" s="4" t="n">
        <f aca="false">C18-B18</f>
        <v>0</v>
      </c>
      <c r="F18" s="5" t="n">
        <f aca="false">IF(B18=0,0,(C18-B18)/B18)</f>
        <v>0</v>
      </c>
      <c r="G18" s="2" t="n">
        <f aca="false">COUNTIF(Dados!$E$2:$E$501,$A18)</f>
        <v>1</v>
      </c>
    </row>
    <row r="19" customFormat="false" ht="15" hidden="false" customHeight="false" outlineLevel="0" collapsed="false">
      <c r="A19" s="3" t="s">
        <v>58</v>
      </c>
      <c r="B19" s="4" t="n">
        <f aca="false" t="array" ref="B19:B19">MIN(IF(Dados!$E$2:$E$501=$A19,Dados!$H$2:$H$501))</f>
        <v>1.99</v>
      </c>
      <c r="C19" s="4" t="n">
        <f aca="false" t="array" ref="C19:C19">MAX(IF(Dados!$E$2:$E$501=$A19,Dados!$H$2:$H$501))</f>
        <v>1.99</v>
      </c>
      <c r="D19" s="4" t="n">
        <f aca="false" t="array" ref="D19:D19">AVERAGE(IF(Dados!$E$2:$E$501=$A19,Dados!$H$2:$H$501))</f>
        <v>1.99</v>
      </c>
      <c r="E19" s="4" t="n">
        <f aca="false">C19-B19</f>
        <v>0</v>
      </c>
      <c r="F19" s="5" t="n">
        <f aca="false">IF(B19=0,0,(C19-B19)/B19)</f>
        <v>0</v>
      </c>
      <c r="G19" s="2" t="n">
        <f aca="false">COUNTIF(Dados!$E$2:$E$501,$A19)</f>
        <v>1</v>
      </c>
    </row>
    <row r="20" customFormat="false" ht="15" hidden="false" customHeight="false" outlineLevel="0" collapsed="false">
      <c r="A20" s="3" t="s">
        <v>140</v>
      </c>
      <c r="B20" s="4" t="n">
        <f aca="false" t="array" ref="B20:B20">MIN(IF(Dados!$E$2:$E$501=$A20,Dados!$H$2:$H$501))</f>
        <v>10.9</v>
      </c>
      <c r="C20" s="4" t="n">
        <f aca="false" t="array" ref="C20:C20">MAX(IF(Dados!$E$2:$E$501=$A20,Dados!$H$2:$H$501))</f>
        <v>10.9</v>
      </c>
      <c r="D20" s="4" t="n">
        <f aca="false" t="array" ref="D20:D20">AVERAGE(IF(Dados!$E$2:$E$501=$A20,Dados!$H$2:$H$501))</f>
        <v>10.9</v>
      </c>
      <c r="E20" s="4" t="n">
        <f aca="false">C20-B20</f>
        <v>0</v>
      </c>
      <c r="F20" s="5" t="n">
        <f aca="false">IF(B20=0,0,(C20-B20)/B20)</f>
        <v>0</v>
      </c>
      <c r="G20" s="2" t="n">
        <f aca="false">COUNTIF(Dados!$E$2:$E$501,$A20)</f>
        <v>1</v>
      </c>
    </row>
    <row r="21" customFormat="false" ht="15" hidden="false" customHeight="false" outlineLevel="0" collapsed="false">
      <c r="A21" s="3" t="s">
        <v>19</v>
      </c>
      <c r="B21" s="4" t="n">
        <f aca="false" t="array" ref="B21:B21">MIN(IF(Dados!$E$2:$E$501=$A21,Dados!$H$2:$H$501))</f>
        <v>8.89</v>
      </c>
      <c r="C21" s="4" t="n">
        <f aca="false" t="array" ref="C21:C21">MAX(IF(Dados!$E$2:$E$501=$A21,Dados!$H$2:$H$501))</f>
        <v>8.89</v>
      </c>
      <c r="D21" s="4" t="n">
        <f aca="false" t="array" ref="D21:D21">AVERAGE(IF(Dados!$E$2:$E$501=$A21,Dados!$H$2:$H$501))</f>
        <v>8.89</v>
      </c>
      <c r="E21" s="4" t="n">
        <f aca="false">C21-B21</f>
        <v>0</v>
      </c>
      <c r="F21" s="5" t="n">
        <f aca="false">IF(B21=0,0,(C21-B21)/B21)</f>
        <v>0</v>
      </c>
      <c r="G21" s="2" t="n">
        <f aca="false">COUNTIF(Dados!$E$2:$E$501,$A21)</f>
        <v>1</v>
      </c>
    </row>
    <row r="22" customFormat="false" ht="15" hidden="false" customHeight="false" outlineLevel="0" collapsed="false">
      <c r="A22" s="3" t="s">
        <v>17</v>
      </c>
      <c r="B22" s="4" t="n">
        <f aca="false" t="array" ref="B22:B22">MIN(IF(Dados!$E$2:$E$501=$A22,Dados!$H$2:$H$501))</f>
        <v>8.89</v>
      </c>
      <c r="C22" s="4" t="n">
        <f aca="false" t="array" ref="C22:C22">MAX(IF(Dados!$E$2:$E$501=$A22,Dados!$H$2:$H$501))</f>
        <v>8.89</v>
      </c>
      <c r="D22" s="4" t="n">
        <f aca="false" t="array" ref="D22:D22">AVERAGE(IF(Dados!$E$2:$E$501=$A22,Dados!$H$2:$H$501))</f>
        <v>8.89</v>
      </c>
      <c r="E22" s="4" t="n">
        <f aca="false">C22-B22</f>
        <v>0</v>
      </c>
      <c r="F22" s="5" t="n">
        <f aca="false">IF(B22=0,0,(C22-B22)/B22)</f>
        <v>0</v>
      </c>
      <c r="G22" s="2" t="n">
        <f aca="false">COUNTIF(Dados!$E$2:$E$501,$A22)</f>
        <v>1</v>
      </c>
    </row>
    <row r="23" customFormat="false" ht="15" hidden="false" customHeight="false" outlineLevel="0" collapsed="false">
      <c r="A23" s="3" t="s">
        <v>29</v>
      </c>
      <c r="B23" s="4" t="n">
        <f aca="false" t="array" ref="B23:B23">MIN(IF(Dados!$E$2:$E$501=$A23,Dados!$H$2:$H$501))</f>
        <v>3.79</v>
      </c>
      <c r="C23" s="4" t="n">
        <f aca="false" t="array" ref="C23:C23">MAX(IF(Dados!$E$2:$E$501=$A23,Dados!$H$2:$H$501))</f>
        <v>3.79</v>
      </c>
      <c r="D23" s="4" t="n">
        <f aca="false" t="array" ref="D23:D23">AVERAGE(IF(Dados!$E$2:$E$501=$A23,Dados!$H$2:$H$501))</f>
        <v>3.79</v>
      </c>
      <c r="E23" s="4" t="n">
        <f aca="false">C23-B23</f>
        <v>0</v>
      </c>
      <c r="F23" s="5" t="n">
        <f aca="false">IF(B23=0,0,(C23-B23)/B23)</f>
        <v>0</v>
      </c>
      <c r="G23" s="2" t="n">
        <f aca="false">COUNTIF(Dados!$E$2:$E$501,$A23)</f>
        <v>2</v>
      </c>
    </row>
    <row r="24" customFormat="false" ht="15" hidden="false" customHeight="false" outlineLevel="0" collapsed="false">
      <c r="A24" s="3" t="s">
        <v>42</v>
      </c>
      <c r="B24" s="4" t="n">
        <f aca="false" t="array" ref="B24:B24">MIN(IF(Dados!$E$2:$E$501=$A24,Dados!$H$2:$H$501))</f>
        <v>2.49</v>
      </c>
      <c r="C24" s="4" t="n">
        <f aca="false" t="array" ref="C24:C24">MAX(IF(Dados!$E$2:$E$501=$A24,Dados!$H$2:$H$501))</f>
        <v>2.49</v>
      </c>
      <c r="D24" s="4" t="n">
        <f aca="false" t="array" ref="D24:D24">AVERAGE(IF(Dados!$E$2:$E$501=$A24,Dados!$H$2:$H$501))</f>
        <v>2.49</v>
      </c>
      <c r="E24" s="4" t="n">
        <f aca="false">C24-B24</f>
        <v>0</v>
      </c>
      <c r="F24" s="5" t="n">
        <f aca="false">IF(B24=0,0,(C24-B24)/B24)</f>
        <v>0</v>
      </c>
      <c r="G24" s="2" t="n">
        <f aca="false">COUNTIF(Dados!$E$2:$E$501,$A24)</f>
        <v>1</v>
      </c>
    </row>
    <row r="25" customFormat="false" ht="15" hidden="false" customHeight="false" outlineLevel="0" collapsed="false">
      <c r="A25" s="3" t="s">
        <v>79</v>
      </c>
      <c r="B25" s="4" t="n">
        <f aca="false" t="array" ref="B25:B25">MIN(IF(Dados!$E$2:$E$501=$A25,Dados!$H$2:$H$501))</f>
        <v>56.9</v>
      </c>
      <c r="C25" s="4" t="n">
        <f aca="false" t="array" ref="C25:C25">MAX(IF(Dados!$E$2:$E$501=$A25,Dados!$H$2:$H$501))</f>
        <v>56.9</v>
      </c>
      <c r="D25" s="4" t="n">
        <f aca="false" t="array" ref="D25:D25">AVERAGE(IF(Dados!$E$2:$E$501=$A25,Dados!$H$2:$H$501))</f>
        <v>56.9</v>
      </c>
      <c r="E25" s="4" t="n">
        <f aca="false">C25-B25</f>
        <v>0</v>
      </c>
      <c r="F25" s="5" t="n">
        <f aca="false">IF(B25=0,0,(C25-B25)/B25)</f>
        <v>0</v>
      </c>
      <c r="G25" s="2" t="n">
        <f aca="false">COUNTIF(Dados!$E$2:$E$501,$A25)</f>
        <v>1</v>
      </c>
    </row>
    <row r="26" customFormat="false" ht="15" hidden="false" customHeight="false" outlineLevel="0" collapsed="false">
      <c r="A26" s="3" t="s">
        <v>105</v>
      </c>
      <c r="B26" s="4" t="n">
        <f aca="false" t="array" ref="B26:B26">MIN(IF(Dados!$E$2:$E$501=$A26,Dados!$H$2:$H$501))</f>
        <v>1.45</v>
      </c>
      <c r="C26" s="4" t="n">
        <f aca="false" t="array" ref="C26:C26">MAX(IF(Dados!$E$2:$E$501=$A26,Dados!$H$2:$H$501))</f>
        <v>1.45</v>
      </c>
      <c r="D26" s="4" t="n">
        <f aca="false" t="array" ref="D26:D26">AVERAGE(IF(Dados!$E$2:$E$501=$A26,Dados!$H$2:$H$501))</f>
        <v>1.45</v>
      </c>
      <c r="E26" s="4" t="n">
        <f aca="false">C26-B26</f>
        <v>0</v>
      </c>
      <c r="F26" s="5" t="n">
        <f aca="false">IF(B26=0,0,(C26-B26)/B26)</f>
        <v>0</v>
      </c>
      <c r="G26" s="2" t="n">
        <f aca="false">COUNTIF(Dados!$E$2:$E$501,$A26)</f>
        <v>2</v>
      </c>
    </row>
    <row r="27" customFormat="false" ht="15" hidden="false" customHeight="false" outlineLevel="0" collapsed="false">
      <c r="A27" s="3" t="s">
        <v>97</v>
      </c>
      <c r="B27" s="4" t="n">
        <f aca="false" t="array" ref="B27:B27">MIN(IF(Dados!$E$2:$E$501=$A27,Dados!$H$2:$H$501))</f>
        <v>7.98</v>
      </c>
      <c r="C27" s="4" t="n">
        <f aca="false" t="array" ref="C27:C27">MAX(IF(Dados!$E$2:$E$501=$A27,Dados!$H$2:$H$501))</f>
        <v>12.99</v>
      </c>
      <c r="D27" s="4" t="n">
        <f aca="false" t="array" ref="D27:D27">AVERAGE(IF(Dados!$E$2:$E$501=$A27,Dados!$H$2:$H$501))</f>
        <v>10.485</v>
      </c>
      <c r="E27" s="4" t="n">
        <f aca="false">C27-B27</f>
        <v>5.01</v>
      </c>
      <c r="F27" s="5" t="n">
        <f aca="false">IF(B27=0,0,(C27-B27)/B27)</f>
        <v>0.62781954887218</v>
      </c>
      <c r="G27" s="2" t="n">
        <f aca="false">COUNTIF(Dados!$E$2:$E$501,$A27)</f>
        <v>2</v>
      </c>
    </row>
    <row r="28" customFormat="false" ht="15" hidden="false" customHeight="false" outlineLevel="0" collapsed="false">
      <c r="A28" s="3" t="s">
        <v>99</v>
      </c>
      <c r="B28" s="4" t="n">
        <f aca="false" t="array" ref="B28:B28">MIN(IF(Dados!$E$2:$E$501=$A28,Dados!$H$2:$H$501))</f>
        <v>11.9</v>
      </c>
      <c r="C28" s="4" t="n">
        <f aca="false" t="array" ref="C28:C28">MAX(IF(Dados!$E$2:$E$501=$A28,Dados!$H$2:$H$501))</f>
        <v>11.9</v>
      </c>
      <c r="D28" s="4" t="n">
        <f aca="false" t="array" ref="D28:D28">AVERAGE(IF(Dados!$E$2:$E$501=$A28,Dados!$H$2:$H$501))</f>
        <v>11.9</v>
      </c>
      <c r="E28" s="4" t="n">
        <f aca="false">C28-B28</f>
        <v>0</v>
      </c>
      <c r="F28" s="5" t="n">
        <f aca="false">IF(B28=0,0,(C28-B28)/B28)</f>
        <v>0</v>
      </c>
      <c r="G28" s="2" t="n">
        <f aca="false">COUNTIF(Dados!$E$2:$E$501,$A28)</f>
        <v>1</v>
      </c>
    </row>
    <row r="29" customFormat="false" ht="15" hidden="false" customHeight="false" outlineLevel="0" collapsed="false">
      <c r="A29" s="3" t="s">
        <v>130</v>
      </c>
      <c r="B29" s="4" t="n">
        <f aca="false" t="array" ref="B29:B29">MIN(IF(Dados!$E$2:$E$501=$A29,Dados!$H$2:$H$501))</f>
        <v>9.9</v>
      </c>
      <c r="C29" s="4" t="n">
        <f aca="false" t="array" ref="C29:C29">MAX(IF(Dados!$E$2:$E$501=$A29,Dados!$H$2:$H$501))</f>
        <v>9.9</v>
      </c>
      <c r="D29" s="4" t="n">
        <f aca="false" t="array" ref="D29:D29">AVERAGE(IF(Dados!$E$2:$E$501=$A29,Dados!$H$2:$H$501))</f>
        <v>9.9</v>
      </c>
      <c r="E29" s="4" t="n">
        <f aca="false">C29-B29</f>
        <v>0</v>
      </c>
      <c r="F29" s="5" t="n">
        <f aca="false">IF(B29=0,0,(C29-B29)/B29)</f>
        <v>0</v>
      </c>
      <c r="G29" s="2" t="n">
        <f aca="false">COUNTIF(Dados!$E$2:$E$501,$A29)</f>
        <v>1</v>
      </c>
    </row>
    <row r="30" customFormat="false" ht="15" hidden="false" customHeight="false" outlineLevel="0" collapsed="false">
      <c r="A30" s="3" t="s">
        <v>103</v>
      </c>
      <c r="B30" s="4" t="n">
        <f aca="false" t="array" ref="B30:B30">MIN(IF(Dados!$E$2:$E$501=$A30,Dados!$H$2:$H$501))</f>
        <v>12.9</v>
      </c>
      <c r="C30" s="4" t="n">
        <f aca="false" t="array" ref="C30:C30">MAX(IF(Dados!$E$2:$E$501=$A30,Dados!$H$2:$H$501))</f>
        <v>12.9</v>
      </c>
      <c r="D30" s="4" t="n">
        <f aca="false" t="array" ref="D30:D30">AVERAGE(IF(Dados!$E$2:$E$501=$A30,Dados!$H$2:$H$501))</f>
        <v>12.9</v>
      </c>
      <c r="E30" s="4" t="n">
        <f aca="false">C30-B30</f>
        <v>0</v>
      </c>
      <c r="F30" s="5" t="n">
        <f aca="false">IF(B30=0,0,(C30-B30)/B30)</f>
        <v>0</v>
      </c>
      <c r="G30" s="2" t="n">
        <f aca="false">COUNTIF(Dados!$E$2:$E$501,$A30)</f>
        <v>2</v>
      </c>
    </row>
    <row r="31" customFormat="false" ht="15" hidden="false" customHeight="false" outlineLevel="0" collapsed="false">
      <c r="A31" s="3" t="s">
        <v>95</v>
      </c>
      <c r="B31" s="4" t="n">
        <f aca="false" t="array" ref="B31:B31">MIN(IF(Dados!$E$2:$E$501=$A31,Dados!$H$2:$H$501))</f>
        <v>8.99</v>
      </c>
      <c r="C31" s="4" t="n">
        <f aca="false" t="array" ref="C31:C31">MAX(IF(Dados!$E$2:$E$501=$A31,Dados!$H$2:$H$501))</f>
        <v>12.5</v>
      </c>
      <c r="D31" s="4" t="n">
        <f aca="false" t="array" ref="D31:D31">AVERAGE(IF(Dados!$E$2:$E$501=$A31,Dados!$H$2:$H$501))</f>
        <v>10.745</v>
      </c>
      <c r="E31" s="4" t="n">
        <f aca="false">C31-B31</f>
        <v>3.51</v>
      </c>
      <c r="F31" s="5" t="n">
        <f aca="false">IF(B31=0,0,(C31-B31)/B31)</f>
        <v>0.390433815350389</v>
      </c>
      <c r="G31" s="2" t="n">
        <f aca="false">COUNTIF(Dados!$E$2:$E$501,$A31)</f>
        <v>2</v>
      </c>
    </row>
    <row r="32" customFormat="false" ht="15" hidden="false" customHeight="false" outlineLevel="0" collapsed="false">
      <c r="A32" s="3" t="s">
        <v>121</v>
      </c>
      <c r="B32" s="4" t="n">
        <f aca="false" t="array" ref="B32:B32">MIN(IF(Dados!$E$2:$E$501=$A32,Dados!$H$2:$H$501))</f>
        <v>6.99</v>
      </c>
      <c r="C32" s="4" t="n">
        <f aca="false" t="array" ref="C32:C32">MAX(IF(Dados!$E$2:$E$501=$A32,Dados!$H$2:$H$501))</f>
        <v>6.99</v>
      </c>
      <c r="D32" s="4" t="n">
        <f aca="false" t="array" ref="D32:D32">AVERAGE(IF(Dados!$E$2:$E$501=$A32,Dados!$H$2:$H$501))</f>
        <v>6.99</v>
      </c>
      <c r="E32" s="4" t="n">
        <f aca="false">C32-B32</f>
        <v>0</v>
      </c>
      <c r="F32" s="5" t="n">
        <f aca="false">IF(B32=0,0,(C32-B32)/B32)</f>
        <v>0</v>
      </c>
      <c r="G32" s="2" t="n">
        <f aca="false">COUNTIF(Dados!$E$2:$E$501,$A32)</f>
        <v>1</v>
      </c>
    </row>
    <row r="33" customFormat="false" ht="15" hidden="false" customHeight="false" outlineLevel="0" collapsed="false">
      <c r="A33" s="3" t="s">
        <v>138</v>
      </c>
      <c r="B33" s="4" t="n">
        <f aca="false" t="array" ref="B33:B33">MIN(IF(Dados!$E$2:$E$501=$A33,Dados!$H$2:$H$501))</f>
        <v>13.85</v>
      </c>
      <c r="C33" s="4" t="n">
        <f aca="false" t="array" ref="C33:C33">MAX(IF(Dados!$E$2:$E$501=$A33,Dados!$H$2:$H$501))</f>
        <v>13.85</v>
      </c>
      <c r="D33" s="4" t="n">
        <f aca="false" t="array" ref="D33:D33">AVERAGE(IF(Dados!$E$2:$E$501=$A33,Dados!$H$2:$H$501))</f>
        <v>13.85</v>
      </c>
      <c r="E33" s="4" t="n">
        <f aca="false">C33-B33</f>
        <v>0</v>
      </c>
      <c r="F33" s="5" t="n">
        <f aca="false">IF(B33=0,0,(C33-B33)/B33)</f>
        <v>0</v>
      </c>
      <c r="G33" s="2" t="n">
        <f aca="false">COUNTIF(Dados!$E$2:$E$501,$A33)</f>
        <v>1</v>
      </c>
    </row>
    <row r="34" customFormat="false" ht="15" hidden="false" customHeight="false" outlineLevel="0" collapsed="false">
      <c r="A34" s="3" t="s">
        <v>51</v>
      </c>
      <c r="B34" s="4" t="n">
        <f aca="false" t="array" ref="B34:B34">MIN(IF(Dados!$E$2:$E$501=$A34,Dados!$H$2:$H$501))</f>
        <v>3.59</v>
      </c>
      <c r="C34" s="4" t="n">
        <f aca="false" t="array" ref="C34:C34">MAX(IF(Dados!$E$2:$E$501=$A34,Dados!$H$2:$H$501))</f>
        <v>3.59</v>
      </c>
      <c r="D34" s="4" t="n">
        <f aca="false" t="array" ref="D34:D34">AVERAGE(IF(Dados!$E$2:$E$501=$A34,Dados!$H$2:$H$501))</f>
        <v>3.59</v>
      </c>
      <c r="E34" s="4" t="n">
        <f aca="false">C34-B34</f>
        <v>0</v>
      </c>
      <c r="F34" s="5" t="n">
        <f aca="false">IF(B34=0,0,(C34-B34)/B34)</f>
        <v>0</v>
      </c>
      <c r="G34" s="2" t="n">
        <f aca="false">COUNTIF(Dados!$E$2:$E$501,$A34)</f>
        <v>1</v>
      </c>
    </row>
    <row r="35" customFormat="false" ht="15" hidden="false" customHeight="false" outlineLevel="0" collapsed="false">
      <c r="A35" s="3" t="s">
        <v>44</v>
      </c>
      <c r="B35" s="4" t="n">
        <f aca="false" t="array" ref="B35:B35">MIN(IF(Dados!$E$2:$E$501=$A35,Dados!$H$2:$H$501))</f>
        <v>3.29</v>
      </c>
      <c r="C35" s="4" t="n">
        <f aca="false" t="array" ref="C35:C35">MAX(IF(Dados!$E$2:$E$501=$A35,Dados!$H$2:$H$501))</f>
        <v>3.29</v>
      </c>
      <c r="D35" s="4" t="n">
        <f aca="false" t="array" ref="D35:D35">AVERAGE(IF(Dados!$E$2:$E$501=$A35,Dados!$H$2:$H$501))</f>
        <v>3.29</v>
      </c>
      <c r="E35" s="4" t="n">
        <f aca="false">C35-B35</f>
        <v>0</v>
      </c>
      <c r="F35" s="5" t="n">
        <f aca="false">IF(B35=0,0,(C35-B35)/B35)</f>
        <v>0</v>
      </c>
      <c r="G35" s="2" t="n">
        <f aca="false">COUNTIF(Dados!$E$2:$E$501,$A35)</f>
        <v>1</v>
      </c>
    </row>
    <row r="36" customFormat="false" ht="15" hidden="false" customHeight="false" outlineLevel="0" collapsed="false">
      <c r="A36" s="3" t="s">
        <v>132</v>
      </c>
      <c r="B36" s="4" t="n">
        <f aca="false" t="array" ref="B36:B36">MIN(IF(Dados!$E$2:$E$501=$A36,Dados!$H$2:$H$501))</f>
        <v>7</v>
      </c>
      <c r="C36" s="4" t="n">
        <f aca="false" t="array" ref="C36:C36">MAX(IF(Dados!$E$2:$E$501=$A36,Dados!$H$2:$H$501))</f>
        <v>7</v>
      </c>
      <c r="D36" s="4" t="n">
        <f aca="false" t="array" ref="D36:D36">AVERAGE(IF(Dados!$E$2:$E$501=$A36,Dados!$H$2:$H$501))</f>
        <v>7</v>
      </c>
      <c r="E36" s="4" t="n">
        <f aca="false">C36-B36</f>
        <v>0</v>
      </c>
      <c r="F36" s="5" t="n">
        <f aca="false">IF(B36=0,0,(C36-B36)/B36)</f>
        <v>0</v>
      </c>
      <c r="G36" s="2" t="n">
        <f aca="false">COUNTIF(Dados!$E$2:$E$501,$A36)</f>
        <v>1</v>
      </c>
    </row>
    <row r="37" customFormat="false" ht="15" hidden="false" customHeight="false" outlineLevel="0" collapsed="false">
      <c r="A37" s="3" t="s">
        <v>123</v>
      </c>
      <c r="B37" s="4" t="n">
        <f aca="false" t="array" ref="B37:B37">MIN(IF(Dados!$E$2:$E$501=$A37,Dados!$H$2:$H$501))</f>
        <v>8.97</v>
      </c>
      <c r="C37" s="4" t="n">
        <f aca="false" t="array" ref="C37:C37">MAX(IF(Dados!$E$2:$E$501=$A37,Dados!$H$2:$H$501))</f>
        <v>8.97</v>
      </c>
      <c r="D37" s="4" t="n">
        <f aca="false" t="array" ref="D37:D37">AVERAGE(IF(Dados!$E$2:$E$501=$A37,Dados!$H$2:$H$501))</f>
        <v>8.97</v>
      </c>
      <c r="E37" s="4" t="n">
        <f aca="false">C37-B37</f>
        <v>0</v>
      </c>
      <c r="F37" s="5" t="n">
        <f aca="false">IF(B37=0,0,(C37-B37)/B37)</f>
        <v>0</v>
      </c>
      <c r="G37" s="2" t="n">
        <f aca="false">COUNTIF(Dados!$E$2:$E$501,$A37)</f>
        <v>1</v>
      </c>
    </row>
    <row r="38" customFormat="false" ht="15" hidden="false" customHeight="false" outlineLevel="0" collapsed="false">
      <c r="A38" s="3" t="s">
        <v>74</v>
      </c>
      <c r="B38" s="4" t="n">
        <f aca="false" t="array" ref="B38:B38">MIN(IF(Dados!$E$2:$E$501=$A38,Dados!$H$2:$H$501))</f>
        <v>12.9</v>
      </c>
      <c r="C38" s="4" t="n">
        <f aca="false" t="array" ref="C38:C38">MAX(IF(Dados!$E$2:$E$501=$A38,Dados!$H$2:$H$501))</f>
        <v>12.9</v>
      </c>
      <c r="D38" s="4" t="n">
        <f aca="false" t="array" ref="D38:D38">AVERAGE(IF(Dados!$E$2:$E$501=$A38,Dados!$H$2:$H$501))</f>
        <v>12.9</v>
      </c>
      <c r="E38" s="4" t="n">
        <f aca="false">C38-B38</f>
        <v>0</v>
      </c>
      <c r="F38" s="5" t="n">
        <f aca="false">IF(B38=0,0,(C38-B38)/B38)</f>
        <v>0</v>
      </c>
      <c r="G38" s="2" t="n">
        <f aca="false">COUNTIF(Dados!$E$2:$E$501,$A38)</f>
        <v>1</v>
      </c>
    </row>
    <row r="39" customFormat="false" ht="15" hidden="false" customHeight="false" outlineLevel="0" collapsed="false">
      <c r="A39" s="3" t="s">
        <v>83</v>
      </c>
      <c r="B39" s="4" t="n">
        <f aca="false" t="array" ref="B39:B39">MIN(IF(Dados!$E$2:$E$501=$A39,Dados!$H$2:$H$501))</f>
        <v>8.78</v>
      </c>
      <c r="C39" s="4" t="n">
        <f aca="false" t="array" ref="C39:C39">MAX(IF(Dados!$E$2:$E$501=$A39,Dados!$H$2:$H$501))</f>
        <v>8.78</v>
      </c>
      <c r="D39" s="4" t="n">
        <f aca="false" t="array" ref="D39:D39">AVERAGE(IF(Dados!$E$2:$E$501=$A39,Dados!$H$2:$H$501))</f>
        <v>8.78</v>
      </c>
      <c r="E39" s="4" t="n">
        <f aca="false">C39-B39</f>
        <v>0</v>
      </c>
      <c r="F39" s="5" t="n">
        <f aca="false">IF(B39=0,0,(C39-B39)/B39)</f>
        <v>0</v>
      </c>
      <c r="G39" s="2" t="n">
        <f aca="false">COUNTIF(Dados!$E$2:$E$501,$A39)</f>
        <v>1</v>
      </c>
    </row>
    <row r="40" customFormat="false" ht="15" hidden="false" customHeight="false" outlineLevel="0" collapsed="false">
      <c r="A40" s="3" t="s">
        <v>36</v>
      </c>
      <c r="B40" s="4" t="n">
        <f aca="false" t="array" ref="B40:B40">MIN(IF(Dados!$E$2:$E$501=$A40,Dados!$H$2:$H$501))</f>
        <v>6.5</v>
      </c>
      <c r="C40" s="4" t="n">
        <f aca="false" t="array" ref="C40:C40">MAX(IF(Dados!$E$2:$E$501=$A40,Dados!$H$2:$H$501))</f>
        <v>6.5</v>
      </c>
      <c r="D40" s="4" t="n">
        <f aca="false" t="array" ref="D40:D40">AVERAGE(IF(Dados!$E$2:$E$501=$A40,Dados!$H$2:$H$501))</f>
        <v>6.5</v>
      </c>
      <c r="E40" s="4" t="n">
        <f aca="false">C40-B40</f>
        <v>0</v>
      </c>
      <c r="F40" s="5" t="n">
        <f aca="false">IF(B40=0,0,(C40-B40)/B40)</f>
        <v>0</v>
      </c>
      <c r="G40" s="2" t="n">
        <f aca="false">COUNTIF(Dados!$E$2:$E$501,$A40)</f>
        <v>1</v>
      </c>
    </row>
    <row r="41" customFormat="false" ht="15" hidden="false" customHeight="false" outlineLevel="0" collapsed="false">
      <c r="A41" s="3" t="s">
        <v>142</v>
      </c>
      <c r="B41" s="4" t="n">
        <f aca="false" t="array" ref="B41:B41">MIN(IF(Dados!$E$2:$E$501=$A41,Dados!$H$2:$H$501))</f>
        <v>4.99</v>
      </c>
      <c r="C41" s="4" t="n">
        <f aca="false" t="array" ref="C41:C41">MAX(IF(Dados!$E$2:$E$501=$A41,Dados!$H$2:$H$501))</f>
        <v>4.99</v>
      </c>
      <c r="D41" s="4" t="n">
        <f aca="false" t="array" ref="D41:D41">AVERAGE(IF(Dados!$E$2:$E$501=$A41,Dados!$H$2:$H$501))</f>
        <v>4.99</v>
      </c>
      <c r="E41" s="4" t="n">
        <f aca="false">C41-B41</f>
        <v>0</v>
      </c>
      <c r="F41" s="5" t="n">
        <f aca="false">IF(B41=0,0,(C41-B41)/B41)</f>
        <v>0</v>
      </c>
      <c r="G41" s="2" t="n">
        <f aca="false">COUNTIF(Dados!$E$2:$E$501,$A41)</f>
        <v>2</v>
      </c>
    </row>
    <row r="42" customFormat="false" ht="15" hidden="false" customHeight="false" outlineLevel="0" collapsed="false">
      <c r="A42" s="3" t="s">
        <v>40</v>
      </c>
      <c r="B42" s="4" t="n">
        <f aca="false" t="array" ref="B42:B42">MIN(IF(Dados!$E$2:$E$501=$A42,Dados!$H$2:$H$501))</f>
        <v>3.99</v>
      </c>
      <c r="C42" s="4" t="n">
        <f aca="false" t="array" ref="C42:C42">MAX(IF(Dados!$E$2:$E$501=$A42,Dados!$H$2:$H$501))</f>
        <v>3.99</v>
      </c>
      <c r="D42" s="4" t="n">
        <f aca="false" t="array" ref="D42:D42">AVERAGE(IF(Dados!$E$2:$E$501=$A42,Dados!$H$2:$H$501))</f>
        <v>3.99</v>
      </c>
      <c r="E42" s="4" t="n">
        <f aca="false">C42-B42</f>
        <v>0</v>
      </c>
      <c r="F42" s="5" t="n">
        <f aca="false">IF(B42=0,0,(C42-B42)/B42)</f>
        <v>0</v>
      </c>
      <c r="G42" s="2" t="n">
        <f aca="false">COUNTIF(Dados!$E$2:$E$501,$A42)</f>
        <v>1</v>
      </c>
    </row>
    <row r="43" customFormat="false" ht="15" hidden="false" customHeight="false" outlineLevel="0" collapsed="false">
      <c r="A43" s="3" t="s">
        <v>62</v>
      </c>
      <c r="B43" s="4" t="n">
        <f aca="false" t="array" ref="B43:B43">MIN(IF(Dados!$E$2:$E$501=$A43,Dados!$H$2:$H$501))</f>
        <v>42.9</v>
      </c>
      <c r="C43" s="4" t="n">
        <f aca="false" t="array" ref="C43:C43">MAX(IF(Dados!$E$2:$E$501=$A43,Dados!$H$2:$H$501))</f>
        <v>42.9</v>
      </c>
      <c r="D43" s="4" t="n">
        <f aca="false" t="array" ref="D43:D43">AVERAGE(IF(Dados!$E$2:$E$501=$A43,Dados!$H$2:$H$501))</f>
        <v>42.9</v>
      </c>
      <c r="E43" s="4" t="n">
        <f aca="false">C43-B43</f>
        <v>0</v>
      </c>
      <c r="F43" s="5" t="n">
        <f aca="false">IF(B43=0,0,(C43-B43)/B43)</f>
        <v>0</v>
      </c>
      <c r="G43" s="2" t="n">
        <f aca="false">COUNTIF(Dados!$E$2:$E$501,$A43)</f>
        <v>1</v>
      </c>
    </row>
    <row r="44" customFormat="false" ht="15" hidden="false" customHeight="false" outlineLevel="0" collapsed="false">
      <c r="A44" s="3" t="s">
        <v>21</v>
      </c>
      <c r="B44" s="4" t="n">
        <f aca="false" t="array" ref="B44:B44">MIN(IF(Dados!$E$2:$E$501=$A44,Dados!$H$2:$H$501))</f>
        <v>39.9</v>
      </c>
      <c r="C44" s="4" t="n">
        <f aca="false" t="array" ref="C44:C44">MAX(IF(Dados!$E$2:$E$501=$A44,Dados!$H$2:$H$501))</f>
        <v>39.9</v>
      </c>
      <c r="D44" s="4" t="n">
        <f aca="false" t="array" ref="D44:D44">AVERAGE(IF(Dados!$E$2:$E$501=$A44,Dados!$H$2:$H$501))</f>
        <v>39.9</v>
      </c>
      <c r="E44" s="4" t="n">
        <f aca="false">C44-B44</f>
        <v>0</v>
      </c>
      <c r="F44" s="5" t="n">
        <f aca="false">IF(B44=0,0,(C44-B44)/B44)</f>
        <v>0</v>
      </c>
      <c r="G44" s="2" t="n">
        <f aca="false">COUNTIF(Dados!$E$2:$E$501,$A44)</f>
        <v>1</v>
      </c>
    </row>
    <row r="45" customFormat="false" ht="15" hidden="false" customHeight="false" outlineLevel="0" collapsed="false">
      <c r="A45" s="3" t="s">
        <v>31</v>
      </c>
      <c r="B45" s="4" t="n">
        <f aca="false" t="array" ref="B45:B45">MIN(IF(Dados!$E$2:$E$501=$A45,Dados!$H$2:$H$501))</f>
        <v>9.9</v>
      </c>
      <c r="C45" s="4" t="n">
        <f aca="false" t="array" ref="C45:C45">MAX(IF(Dados!$E$2:$E$501=$A45,Dados!$H$2:$H$501))</f>
        <v>9.9</v>
      </c>
      <c r="D45" s="4" t="n">
        <f aca="false" t="array" ref="D45:D45">AVERAGE(IF(Dados!$E$2:$E$501=$A45,Dados!$H$2:$H$501))</f>
        <v>9.9</v>
      </c>
      <c r="E45" s="4" t="n">
        <f aca="false">C45-B45</f>
        <v>0</v>
      </c>
      <c r="F45" s="5" t="n">
        <f aca="false">IF(B45=0,0,(C45-B45)/B45)</f>
        <v>0</v>
      </c>
      <c r="G45" s="2" t="n">
        <f aca="false">COUNTIF(Dados!$E$2:$E$501,$A45)</f>
        <v>1</v>
      </c>
    </row>
    <row r="46" customFormat="false" ht="15" hidden="false" customHeight="false" outlineLevel="0" collapsed="false">
      <c r="A46" s="3" t="s">
        <v>93</v>
      </c>
      <c r="B46" s="4" t="n">
        <f aca="false" t="array" ref="B46:B46">MIN(IF(Dados!$E$2:$E$501=$A46,Dados!$H$2:$H$501))</f>
        <v>12.99</v>
      </c>
      <c r="C46" s="4" t="n">
        <f aca="false" t="array" ref="C46:C46">MAX(IF(Dados!$E$2:$E$501=$A46,Dados!$H$2:$H$501))</f>
        <v>18.9</v>
      </c>
      <c r="D46" s="4" t="n">
        <f aca="false" t="array" ref="D46:D46">AVERAGE(IF(Dados!$E$2:$E$501=$A46,Dados!$H$2:$H$501))</f>
        <v>15.945</v>
      </c>
      <c r="E46" s="4" t="n">
        <f aca="false">C46-B46</f>
        <v>5.91</v>
      </c>
      <c r="F46" s="5" t="n">
        <f aca="false">IF(B46=0,0,(C46-B46)/B46)</f>
        <v>0.454965357967667</v>
      </c>
      <c r="G46" s="2" t="n">
        <f aca="false">COUNTIF(Dados!$E$2:$E$501,$A46)</f>
        <v>2</v>
      </c>
    </row>
    <row r="47" customFormat="false" ht="15" hidden="false" customHeight="false" outlineLevel="0" collapsed="false">
      <c r="A47" s="3" t="s">
        <v>128</v>
      </c>
      <c r="B47" s="4" t="n">
        <f aca="false" t="array" ref="B47:B47">MIN(IF(Dados!$E$2:$E$501=$A47,Dados!$H$2:$H$501))</f>
        <v>9.98</v>
      </c>
      <c r="C47" s="4" t="n">
        <f aca="false" t="array" ref="C47:C47">MAX(IF(Dados!$E$2:$E$501=$A47,Dados!$H$2:$H$501))</f>
        <v>9.98</v>
      </c>
      <c r="D47" s="4" t="n">
        <f aca="false" t="array" ref="D47:D47">AVERAGE(IF(Dados!$E$2:$E$501=$A47,Dados!$H$2:$H$501))</f>
        <v>9.98</v>
      </c>
      <c r="E47" s="4" t="n">
        <f aca="false">C47-B47</f>
        <v>0</v>
      </c>
      <c r="F47" s="5" t="n">
        <f aca="false">IF(B47=0,0,(C47-B47)/B47)</f>
        <v>0</v>
      </c>
      <c r="G47" s="2" t="n">
        <f aca="false">COUNTIF(Dados!$E$2:$E$501,$A47)</f>
        <v>1</v>
      </c>
    </row>
    <row r="48" customFormat="false" ht="15" hidden="false" customHeight="false" outlineLevel="0" collapsed="false">
      <c r="A48" s="3" t="s">
        <v>27</v>
      </c>
      <c r="B48" s="4" t="n">
        <f aca="false" t="array" ref="B48:B48">MIN(IF(Dados!$E$2:$E$501=$A48,Dados!$H$2:$H$501))</f>
        <v>5.49</v>
      </c>
      <c r="C48" s="4" t="n">
        <f aca="false" t="array" ref="C48:C48">MAX(IF(Dados!$E$2:$E$501=$A48,Dados!$H$2:$H$501))</f>
        <v>5.49</v>
      </c>
      <c r="D48" s="4" t="n">
        <f aca="false" t="array" ref="D48:D48">AVERAGE(IF(Dados!$E$2:$E$501=$A48,Dados!$H$2:$H$501))</f>
        <v>5.49</v>
      </c>
      <c r="E48" s="4" t="n">
        <f aca="false">C48-B48</f>
        <v>0</v>
      </c>
      <c r="F48" s="5" t="n">
        <f aca="false">IF(B48=0,0,(C48-B48)/B48)</f>
        <v>0</v>
      </c>
      <c r="G48" s="2" t="n">
        <f aca="false">COUNTIF(Dados!$E$2:$E$501,$A48)</f>
        <v>1</v>
      </c>
    </row>
    <row r="49" customFormat="false" ht="15" hidden="false" customHeight="false" outlineLevel="0" collapsed="false">
      <c r="A49" s="3" t="s">
        <v>81</v>
      </c>
      <c r="B49" s="4" t="n">
        <f aca="false" t="array" ref="B49:B49">MIN(IF(Dados!$E$2:$E$501=$A49,Dados!$H$2:$H$501))</f>
        <v>7.89</v>
      </c>
      <c r="C49" s="4" t="n">
        <f aca="false" t="array" ref="C49:C49">MAX(IF(Dados!$E$2:$E$501=$A49,Dados!$H$2:$H$501))</f>
        <v>7.89</v>
      </c>
      <c r="D49" s="4" t="n">
        <f aca="false" t="array" ref="D49:D49">AVERAGE(IF(Dados!$E$2:$E$501=$A49,Dados!$H$2:$H$501))</f>
        <v>7.89</v>
      </c>
      <c r="E49" s="4" t="n">
        <f aca="false">C49-B49</f>
        <v>0</v>
      </c>
      <c r="F49" s="5" t="n">
        <f aca="false">IF(B49=0,0,(C49-B49)/B49)</f>
        <v>0</v>
      </c>
      <c r="G49" s="2" t="n">
        <f aca="false">COUNTIF(Dados!$E$2:$E$501,$A49)</f>
        <v>1</v>
      </c>
    </row>
    <row r="50" customFormat="false" ht="15" hidden="false" customHeight="false" outlineLevel="0" collapsed="false">
      <c r="A50" s="3" t="s">
        <v>68</v>
      </c>
      <c r="B50" s="4" t="n">
        <f aca="false" t="array" ref="B50:B50">MIN(IF(Dados!$E$2:$E$501=$A50,Dados!$H$2:$H$501))</f>
        <v>17.9</v>
      </c>
      <c r="C50" s="4" t="n">
        <f aca="false" t="array" ref="C50:C50">MAX(IF(Dados!$E$2:$E$501=$A50,Dados!$H$2:$H$501))</f>
        <v>17.9</v>
      </c>
      <c r="D50" s="4" t="n">
        <f aca="false" t="array" ref="D50:D50">AVERAGE(IF(Dados!$E$2:$E$501=$A50,Dados!$H$2:$H$501))</f>
        <v>17.9</v>
      </c>
      <c r="E50" s="4" t="n">
        <f aca="false">C50-B50</f>
        <v>0</v>
      </c>
      <c r="F50" s="5" t="n">
        <f aca="false">IF(B50=0,0,(C50-B50)/B50)</f>
        <v>0</v>
      </c>
      <c r="G50" s="2" t="n">
        <f aca="false">COUNTIF(Dados!$E$2:$E$501,$A50)</f>
        <v>1</v>
      </c>
    </row>
    <row r="51" customFormat="false" ht="15" hidden="false" customHeight="false" outlineLevel="0" collapsed="false">
      <c r="A51" s="3" t="s">
        <v>119</v>
      </c>
      <c r="B51" s="4" t="n">
        <f aca="false" t="array" ref="B51:B51">MIN(IF(Dados!$E$2:$E$501=$A51,Dados!$H$2:$H$501))</f>
        <v>10.49</v>
      </c>
      <c r="C51" s="4" t="n">
        <f aca="false" t="array" ref="C51:C51">MAX(IF(Dados!$E$2:$E$501=$A51,Dados!$H$2:$H$501))</f>
        <v>10.49</v>
      </c>
      <c r="D51" s="4" t="n">
        <f aca="false" t="array" ref="D51:D51">AVERAGE(IF(Dados!$E$2:$E$501=$A51,Dados!$H$2:$H$501))</f>
        <v>10.49</v>
      </c>
      <c r="E51" s="4" t="n">
        <f aca="false">C51-B51</f>
        <v>0</v>
      </c>
      <c r="F51" s="5" t="n">
        <f aca="false">IF(B51=0,0,(C51-B51)/B51)</f>
        <v>0</v>
      </c>
      <c r="G51" s="2" t="n">
        <f aca="false">COUNTIF(Dados!$E$2:$E$501,$A51)</f>
        <v>1</v>
      </c>
    </row>
    <row r="52" customFormat="false" ht="15" hidden="false" customHeight="false" outlineLevel="0" collapsed="false">
      <c r="A52" s="3" t="s">
        <v>60</v>
      </c>
      <c r="B52" s="4" t="n">
        <f aca="false" t="array" ref="B52:B52">MIN(IF(Dados!$E$2:$E$501=$A52,Dados!$H$2:$H$501))</f>
        <v>59.9</v>
      </c>
      <c r="C52" s="4" t="n">
        <f aca="false" t="array" ref="C52:C52">MAX(IF(Dados!$E$2:$E$501=$A52,Dados!$H$2:$H$501))</f>
        <v>59.9</v>
      </c>
      <c r="D52" s="4" t="n">
        <f aca="false" t="array" ref="D52:D52">AVERAGE(IF(Dados!$E$2:$E$501=$A52,Dados!$H$2:$H$501))</f>
        <v>59.9</v>
      </c>
      <c r="E52" s="4" t="n">
        <f aca="false">C52-B52</f>
        <v>0</v>
      </c>
      <c r="F52" s="5" t="n">
        <f aca="false">IF(B52=0,0,(C52-B52)/B52)</f>
        <v>0</v>
      </c>
      <c r="G52" s="2" t="n">
        <f aca="false">COUNTIF(Dados!$E$2:$E$501,$A52)</f>
        <v>1</v>
      </c>
    </row>
    <row r="53" customFormat="false" ht="15" hidden="false" customHeight="false" outlineLevel="0" collapsed="false">
      <c r="A53" s="3" t="s">
        <v>134</v>
      </c>
      <c r="B53" s="4" t="n">
        <f aca="false" t="array" ref="B53:B53">MIN(IF(Dados!$E$2:$E$501=$A53,Dados!$H$2:$H$501))</f>
        <v>62.9</v>
      </c>
      <c r="C53" s="4" t="n">
        <f aca="false" t="array" ref="C53:C53">MAX(IF(Dados!$E$2:$E$501=$A53,Dados!$H$2:$H$501))</f>
        <v>62.9</v>
      </c>
      <c r="D53" s="4" t="n">
        <f aca="false" t="array" ref="D53:D53">AVERAGE(IF(Dados!$E$2:$E$501=$A53,Dados!$H$2:$H$501))</f>
        <v>62.9</v>
      </c>
      <c r="E53" s="4" t="n">
        <f aca="false">C53-B53</f>
        <v>0</v>
      </c>
      <c r="F53" s="5" t="n">
        <f aca="false">IF(B53=0,0,(C53-B53)/B53)</f>
        <v>0</v>
      </c>
      <c r="G53" s="2" t="n">
        <f aca="false">COUNTIF(Dados!$E$2:$E$501,$A53)</f>
        <v>1</v>
      </c>
    </row>
    <row r="54" customFormat="false" ht="15" hidden="false" customHeight="false" outlineLevel="0" collapsed="false">
      <c r="A54" s="3" t="s">
        <v>56</v>
      </c>
      <c r="B54" s="4" t="n">
        <f aca="false" t="array" ref="B54:B54">MIN(IF(Dados!$E$2:$E$501=$A54,Dados!$H$2:$H$501))</f>
        <v>18.9</v>
      </c>
      <c r="C54" s="4" t="n">
        <f aca="false" t="array" ref="C54:C54">MAX(IF(Dados!$E$2:$E$501=$A54,Dados!$H$2:$H$501))</f>
        <v>18.9</v>
      </c>
      <c r="D54" s="4" t="n">
        <f aca="false" t="array" ref="D54:D54">AVERAGE(IF(Dados!$E$2:$E$501=$A54,Dados!$H$2:$H$501))</f>
        <v>18.9</v>
      </c>
      <c r="E54" s="4" t="n">
        <f aca="false">C54-B54</f>
        <v>0</v>
      </c>
      <c r="F54" s="5" t="n">
        <f aca="false">IF(B54=0,0,(C54-B54)/B54)</f>
        <v>0</v>
      </c>
      <c r="G54" s="2" t="n">
        <f aca="false">COUNTIF(Dados!$E$2:$E$501,$A54)</f>
        <v>1</v>
      </c>
    </row>
    <row r="55" customFormat="false" ht="15" hidden="false" customHeight="false" outlineLevel="0" collapsed="false">
      <c r="A55" s="3" t="s">
        <v>70</v>
      </c>
      <c r="B55" s="4" t="n">
        <f aca="false" t="array" ref="B55:B55">MIN(IF(Dados!$E$2:$E$501=$A55,Dados!$H$2:$H$501))</f>
        <v>2.29</v>
      </c>
      <c r="C55" s="4" t="n">
        <f aca="false" t="array" ref="C55:C55">MAX(IF(Dados!$E$2:$E$501=$A55,Dados!$H$2:$H$501))</f>
        <v>2.29</v>
      </c>
      <c r="D55" s="4" t="n">
        <f aca="false" t="array" ref="D55:D55">AVERAGE(IF(Dados!$E$2:$E$501=$A55,Dados!$H$2:$H$501))</f>
        <v>2.29</v>
      </c>
      <c r="E55" s="4" t="n">
        <f aca="false">C55-B55</f>
        <v>0</v>
      </c>
      <c r="F55" s="5" t="n">
        <f aca="false">IF(B55=0,0,(C55-B55)/B55)</f>
        <v>0</v>
      </c>
      <c r="G55" s="2" t="n">
        <f aca="false">COUNTIF(Dados!$E$2:$E$501,$A55)</f>
        <v>1</v>
      </c>
    </row>
    <row r="56" customFormat="false" ht="15" hidden="false" customHeight="false" outlineLevel="0" collapsed="false">
      <c r="A56" s="3" t="s">
        <v>72</v>
      </c>
      <c r="B56" s="4" t="n">
        <f aca="false" t="array" ref="B56:B56">MIN(IF(Dados!$E$2:$E$501=$A56,Dados!$H$2:$H$501))</f>
        <v>3.19</v>
      </c>
      <c r="C56" s="4" t="n">
        <f aca="false" t="array" ref="C56:C56">MAX(IF(Dados!$E$2:$E$501=$A56,Dados!$H$2:$H$501))</f>
        <v>3.19</v>
      </c>
      <c r="D56" s="4" t="n">
        <f aca="false" t="array" ref="D56:D56">AVERAGE(IF(Dados!$E$2:$E$501=$A56,Dados!$H$2:$H$501))</f>
        <v>3.19</v>
      </c>
      <c r="E56" s="4" t="n">
        <f aca="false">C56-B56</f>
        <v>0</v>
      </c>
      <c r="F56" s="5" t="n">
        <f aca="false">IF(B56=0,0,(C56-B56)/B56)</f>
        <v>0</v>
      </c>
      <c r="G56" s="2" t="n">
        <f aca="false">COUNTIF(Dados!$E$2:$E$501,$A56)</f>
        <v>1</v>
      </c>
    </row>
    <row r="57" customFormat="false" ht="15" hidden="false" customHeight="false" outlineLevel="0" collapsed="false">
      <c r="A57" s="3" t="s">
        <v>136</v>
      </c>
      <c r="B57" s="4" t="n">
        <f aca="false" t="array" ref="B57:B57">MIN(IF(Dados!$E$2:$E$501=$A57,Dados!$H$2:$H$501))</f>
        <v>56.9</v>
      </c>
      <c r="C57" s="4" t="n">
        <f aca="false" t="array" ref="C57:C57">MAX(IF(Dados!$E$2:$E$501=$A57,Dados!$H$2:$H$501))</f>
        <v>56.9</v>
      </c>
      <c r="D57" s="4" t="n">
        <f aca="false" t="array" ref="D57:D57">AVERAGE(IF(Dados!$E$2:$E$501=$A57,Dados!$H$2:$H$501))</f>
        <v>56.9</v>
      </c>
      <c r="E57" s="4" t="n">
        <f aca="false">C57-B57</f>
        <v>0</v>
      </c>
      <c r="F57" s="5" t="n">
        <f aca="false">IF(B57=0,0,(C57-B57)/B57)</f>
        <v>0</v>
      </c>
      <c r="G57" s="2" t="n">
        <f aca="false">COUNTIF(Dados!$E$2:$E$501,$A57)</f>
        <v>1</v>
      </c>
    </row>
    <row r="58" customFormat="false" ht="15" hidden="false" customHeight="false" outlineLevel="0" collapsed="false">
      <c r="A58" s="3" t="s">
        <v>23</v>
      </c>
      <c r="B58" s="4" t="n">
        <f aca="false" t="array" ref="B58:B58">MIN(IF(Dados!$E$2:$E$501=$A58,Dados!$H$2:$H$501))</f>
        <v>3.39</v>
      </c>
      <c r="C58" s="4" t="n">
        <f aca="false" t="array" ref="C58:C58">MAX(IF(Dados!$E$2:$E$501=$A58,Dados!$H$2:$H$501))</f>
        <v>3.39</v>
      </c>
      <c r="D58" s="4" t="n">
        <f aca="false" t="array" ref="D58:D58">AVERAGE(IF(Dados!$E$2:$E$501=$A58,Dados!$H$2:$H$501))</f>
        <v>3.39</v>
      </c>
      <c r="E58" s="4" t="n">
        <f aca="false">C58-B58</f>
        <v>0</v>
      </c>
      <c r="F58" s="5" t="n">
        <f aca="false">IF(B58=0,0,(C58-B58)/B58)</f>
        <v>0</v>
      </c>
      <c r="G58" s="2" t="n">
        <f aca="false">COUNTIF(Dados!$E$2:$E$501,$A58)</f>
        <v>1</v>
      </c>
    </row>
    <row r="59" customFormat="false" ht="15" hidden="false" customHeight="false" outlineLevel="0" collapsed="false">
      <c r="A59" s="3" t="s">
        <v>126</v>
      </c>
      <c r="B59" s="4" t="n">
        <f aca="false" t="array" ref="B59:B59">MIN(IF(Dados!$E$2:$E$501=$A59,Dados!$H$2:$H$501))</f>
        <v>112</v>
      </c>
      <c r="C59" s="4" t="n">
        <f aca="false" t="array" ref="C59:C59">MAX(IF(Dados!$E$2:$E$501=$A59,Dados!$H$2:$H$501))</f>
        <v>112</v>
      </c>
      <c r="D59" s="4" t="n">
        <f aca="false" t="array" ref="D59:D59">AVERAGE(IF(Dados!$E$2:$E$501=$A59,Dados!$H$2:$H$501))</f>
        <v>112</v>
      </c>
      <c r="E59" s="4" t="n">
        <f aca="false">C59-B59</f>
        <v>0</v>
      </c>
      <c r="F59" s="5" t="n">
        <f aca="false">IF(B59=0,0,(C59-B59)/B59)</f>
        <v>0</v>
      </c>
      <c r="G59" s="2" t="n">
        <f aca="false">COUNTIF(Dados!$E$2:$E$501,$A59)</f>
        <v>1</v>
      </c>
    </row>
    <row r="60" customFormat="false" ht="15" hidden="false" customHeight="false" outlineLevel="0" collapsed="false">
      <c r="A60" s="3" t="s">
        <v>14</v>
      </c>
      <c r="B60" s="4" t="n">
        <f aca="false" t="array" ref="B60:B60">MIN(IF(Dados!$E$2:$E$501=$A60,Dados!$H$2:$H$501))</f>
        <v>11.99</v>
      </c>
      <c r="C60" s="4" t="n">
        <f aca="false" t="array" ref="C60:C60">MAX(IF(Dados!$E$2:$E$501=$A60,Dados!$H$2:$H$501))</f>
        <v>11.99</v>
      </c>
      <c r="D60" s="4" t="n">
        <f aca="false" t="array" ref="D60:D60">AVERAGE(IF(Dados!$E$2:$E$501=$A60,Dados!$H$2:$H$501))</f>
        <v>11.99</v>
      </c>
      <c r="E60" s="4" t="n">
        <f aca="false">C60-B60</f>
        <v>0</v>
      </c>
      <c r="F60" s="5" t="n">
        <f aca="false">IF(B60=0,0,(C60-B60)/B60)</f>
        <v>0</v>
      </c>
      <c r="G60" s="2" t="n">
        <f aca="false">COUNTIF(Dados!$E$2:$E$501,$A60)</f>
        <v>1</v>
      </c>
    </row>
    <row r="61" customFormat="false" ht="15" hidden="false" customHeight="false" outlineLevel="0" collapsed="false">
      <c r="A61" s="3" t="s">
        <v>108</v>
      </c>
      <c r="B61" s="4" t="n">
        <f aca="false" t="array" ref="B61:B61">MIN(IF(Dados!$E$2:$E$501=$A61,Dados!$H$2:$H$501))</f>
        <v>16.9</v>
      </c>
      <c r="C61" s="4" t="n">
        <f aca="false" t="array" ref="C61:C61">MAX(IF(Dados!$E$2:$E$501=$A61,Dados!$H$2:$H$501))</f>
        <v>16.9</v>
      </c>
      <c r="D61" s="4" t="n">
        <f aca="false" t="array" ref="D61:D61">AVERAGE(IF(Dados!$E$2:$E$501=$A61,Dados!$H$2:$H$501))</f>
        <v>16.9</v>
      </c>
      <c r="E61" s="4" t="n">
        <f aca="false">C61-B61</f>
        <v>0</v>
      </c>
      <c r="F61" s="5" t="n">
        <f aca="false">IF(B61=0,0,(C61-B61)/B61)</f>
        <v>0</v>
      </c>
      <c r="G61" s="2" t="n">
        <f aca="false">COUNTIF(Dados!$E$2:$E$501,$A61)</f>
        <v>1</v>
      </c>
    </row>
    <row r="62" customFormat="false" ht="15" hidden="false" customHeight="false" outlineLevel="0" collapsed="false">
      <c r="A62" s="3" t="s">
        <v>117</v>
      </c>
      <c r="B62" s="4" t="n">
        <f aca="false" t="array" ref="B62:B62">MIN(IF(Dados!$E$2:$E$501=$A62,Dados!$H$2:$H$501))</f>
        <v>5.09</v>
      </c>
      <c r="C62" s="4" t="n">
        <f aca="false" t="array" ref="C62:C62">MAX(IF(Dados!$E$2:$E$501=$A62,Dados!$H$2:$H$501))</f>
        <v>5.09</v>
      </c>
      <c r="D62" s="4" t="n">
        <f aca="false" t="array" ref="D62:D62">AVERAGE(IF(Dados!$E$2:$E$501=$A62,Dados!$H$2:$H$501))</f>
        <v>5.09</v>
      </c>
      <c r="E62" s="4" t="n">
        <f aca="false">C62-B62</f>
        <v>0</v>
      </c>
      <c r="F62" s="5" t="n">
        <f aca="false">IF(B62=0,0,(C62-B62)/B62)</f>
        <v>0</v>
      </c>
      <c r="G62" s="2" t="n">
        <f aca="false">COUNTIF(Dados!$E$2:$E$501,$A62)</f>
        <v>1</v>
      </c>
    </row>
    <row r="63" customFormat="false" ht="15" hidden="false" customHeight="false" outlineLevel="0" collapsed="false">
      <c r="A63" s="3" t="s">
        <v>115</v>
      </c>
      <c r="B63" s="4" t="n">
        <f aca="false" t="array" ref="B63:B63">MIN(IF(Dados!$E$2:$E$501=$A63,Dados!$H$2:$H$501))</f>
        <v>5.09</v>
      </c>
      <c r="C63" s="4" t="n">
        <f aca="false" t="array" ref="C63:C63">MAX(IF(Dados!$E$2:$E$501=$A63,Dados!$H$2:$H$501))</f>
        <v>5.09</v>
      </c>
      <c r="D63" s="4" t="n">
        <f aca="false" t="array" ref="D63:D63">AVERAGE(IF(Dados!$E$2:$E$501=$A63,Dados!$H$2:$H$501))</f>
        <v>5.09</v>
      </c>
      <c r="E63" s="4" t="n">
        <f aca="false">C63-B63</f>
        <v>0</v>
      </c>
      <c r="F63" s="5" t="n">
        <f aca="false">IF(B63=0,0,(C63-B63)/B63)</f>
        <v>0</v>
      </c>
      <c r="G63" s="2" t="n">
        <f aca="false">COUNTIF(Dados!$E$2:$E$501,$A63)</f>
        <v>1</v>
      </c>
    </row>
    <row r="64" customFormat="false" ht="15" hidden="false" customHeight="false" outlineLevel="0" collapsed="false">
      <c r="A64" s="3" t="s">
        <v>49</v>
      </c>
      <c r="B64" s="4" t="n">
        <f aca="false" t="array" ref="B64:B64">MIN(IF(Dados!$E$2:$E$501=$A64,Dados!$H$2:$H$501))</f>
        <v>4.49</v>
      </c>
      <c r="C64" s="4" t="n">
        <f aca="false" t="array" ref="C64:C64">MAX(IF(Dados!$E$2:$E$501=$A64,Dados!$H$2:$H$501))</f>
        <v>4.49</v>
      </c>
      <c r="D64" s="4" t="n">
        <f aca="false" t="array" ref="D64:D64">AVERAGE(IF(Dados!$E$2:$E$501=$A64,Dados!$H$2:$H$501))</f>
        <v>4.49</v>
      </c>
      <c r="E64" s="4" t="n">
        <f aca="false">C64-B64</f>
        <v>0</v>
      </c>
      <c r="F64" s="5" t="n">
        <f aca="false">IF(B64=0,0,(C64-B64)/B64)</f>
        <v>0</v>
      </c>
      <c r="G64" s="2" t="n">
        <f aca="false">COUNTIF(Dados!$E$2:$E$501,$A64)</f>
        <v>1</v>
      </c>
    </row>
    <row r="65" customFormat="false" ht="15" hidden="false" customHeight="false" outlineLevel="0" collapsed="false">
      <c r="A65" s="3" t="s">
        <v>76</v>
      </c>
      <c r="B65" s="4" t="n">
        <f aca="false" t="array" ref="B65:B65">MIN(IF(Dados!$E$2:$E$501=$A65,Dados!$H$2:$H$501))</f>
        <v>7.99</v>
      </c>
      <c r="C65" s="4" t="n">
        <f aca="false" t="array" ref="C65:C65">MAX(IF(Dados!$E$2:$E$501=$A65,Dados!$H$2:$H$501))</f>
        <v>7.99</v>
      </c>
      <c r="D65" s="4" t="n">
        <f aca="false" t="array" ref="D65:D65">AVERAGE(IF(Dados!$E$2:$E$501=$A65,Dados!$H$2:$H$501))</f>
        <v>7.99</v>
      </c>
      <c r="E65" s="4" t="n">
        <f aca="false">C65-B65</f>
        <v>0</v>
      </c>
      <c r="F65" s="5" t="n">
        <f aca="false">IF(B65=0,0,(C65-B65)/B65)</f>
        <v>0</v>
      </c>
      <c r="G65" s="2" t="n">
        <f aca="false">COUNTIF(Dados!$E$2:$E$501,$A65)</f>
        <v>1</v>
      </c>
    </row>
  </sheetData>
  <autoFilter ref="A1:G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156</v>
      </c>
      <c r="C1" s="1" t="s">
        <v>157</v>
      </c>
      <c r="D1" s="1" t="s">
        <v>158</v>
      </c>
    </row>
    <row r="2" customFormat="false" ht="15" hidden="false" customHeight="false" outlineLevel="0" collapsed="false">
      <c r="A2" s="2" t="s">
        <v>10</v>
      </c>
      <c r="B2" s="2" t="n">
        <v>17193</v>
      </c>
      <c r="C2" s="2" t="n">
        <f aca="false">COUNTIF(Dados!$J$2:$J$501,B2)</f>
        <v>30</v>
      </c>
      <c r="D2" s="4" t="n">
        <f aca="false">SUMIF(Dados!$J$2:$J$501,B2,Dados!$I$2:$I$501)</f>
        <v>431.73575</v>
      </c>
    </row>
    <row r="3" customFormat="false" ht="15" hidden="false" customHeight="false" outlineLevel="0" collapsed="false">
      <c r="A3" s="2" t="s">
        <v>77</v>
      </c>
      <c r="B3" s="2" t="n">
        <v>30439</v>
      </c>
      <c r="C3" s="2" t="n">
        <f aca="false">COUNTIF(Dados!$J$2:$J$501,B3)</f>
        <v>17</v>
      </c>
      <c r="D3" s="4" t="n">
        <f aca="false">SUMIF(Dados!$J$2:$J$501,B3,Dados!$I$2:$I$501)</f>
        <v>219.1442</v>
      </c>
    </row>
    <row r="4" customFormat="false" ht="15" hidden="false" customHeight="false" outlineLevel="0" collapsed="false">
      <c r="A4" s="2" t="s">
        <v>111</v>
      </c>
      <c r="B4" s="2" t="n">
        <v>34472</v>
      </c>
      <c r="C4" s="2" t="n">
        <f aca="false">COUNTIF(Dados!$J$2:$J$501,B4)</f>
        <v>24</v>
      </c>
      <c r="D4" s="4" t="n">
        <f aca="false">SUMIF(Dados!$J$2:$J$501,B4,Dados!$I$2:$I$501)</f>
        <v>267.5419</v>
      </c>
    </row>
    <row r="5" customFormat="false" ht="15" hidden="false" customHeight="false" outlineLevel="0" collapsed="false">
      <c r="A5" s="6" t="s">
        <v>159</v>
      </c>
      <c r="B5" s="7"/>
      <c r="C5" s="8" t="n">
        <f aca="false">SUM(C2:C4)</f>
        <v>71</v>
      </c>
      <c r="D5" s="9" t="n">
        <f aca="false">SUM(D2:D4)</f>
        <v>918.42185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2026-06-04T01:17:04Z</dcterms:created>
  <dc:creator>openpyxl</dc:creator>
  <dc:description/>
  <dc:language>en-US</dc:language>
  <cp:lastModifiedBy/>
  <dcterms:modified xsi:type="dcterms:W3CDTF">2026-06-04T01:17:04Z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